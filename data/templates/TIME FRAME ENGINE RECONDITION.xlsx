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219DFDB-71E6-45A6-BFE6-6051AB952DE8}" xr6:coauthVersionLast="47" xr6:coauthVersionMax="47" xr10:uidLastSave="{00000000-0000-0000-0000-000000000000}"/>
  <bookViews>
    <workbookView xWindow="-120" yWindow="-120" windowWidth="20730" windowHeight="11040" tabRatio="812" xr2:uid="{3A198739-BB12-48F9-A037-7AFEA0D7A0CA}"/>
  </bookViews>
  <sheets>
    <sheet name="Engine 3306" sheetId="3" r:id="rId1"/>
    <sheet name="Engine 3406" sheetId="2" r:id="rId2"/>
    <sheet name="Engine 3412" sheetId="4" r:id="rId3"/>
    <sheet name="Egnine C9" sheetId="5" r:id="rId4"/>
    <sheet name="Engine C13" sheetId="6" r:id="rId5"/>
    <sheet name="Engine C27" sheetId="1" r:id="rId6"/>
    <sheet name="Engine 3412 E" sheetId="8" r:id="rId7"/>
  </sheets>
  <externalReferences>
    <externalReference r:id="rId8"/>
    <externalReference r:id="rId9"/>
    <externalReference r:id="rId10"/>
  </externalReferences>
  <definedNames>
    <definedName name="__kEY1" hidden="1">'[1]Price rotables'!#REF!</definedName>
    <definedName name="_Key1" hidden="1">'[1]Price rotables'!#REF!</definedName>
    <definedName name="_Key2" hidden="1">'[1]Price rotables'!#REF!</definedName>
    <definedName name="_Order1" hidden="1">255</definedName>
    <definedName name="_Order2" hidden="1">255</definedName>
    <definedName name="_Sort" hidden="1">'[1]Price rotables'!#REF!</definedName>
    <definedName name="Break" hidden="1">'[2]Price rotables'!#REF!</definedName>
    <definedName name="ddddd" hidden="1">'[1]Price rotables'!#REF!</definedName>
    <definedName name="major" hidden="1">'[2]Price rotables'!#REF!</definedName>
    <definedName name="ttclear">[3]TT!$A$4:$S$13,[3]TT!$A$17:$S$26,[3]TT!$A$30:$S$39,[3]TT!$A$43:$S$52,[3]TT!$A$56:$S$65,[3]TT!$A$69:$S$78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8" i="8" l="1"/>
  <c r="P61" i="8"/>
  <c r="P57" i="8"/>
  <c r="P56" i="8"/>
  <c r="P55" i="8"/>
  <c r="P54" i="8"/>
  <c r="P53" i="8"/>
  <c r="P52" i="8"/>
  <c r="P51" i="8"/>
  <c r="P50" i="8"/>
  <c r="P49" i="8"/>
  <c r="P48" i="8"/>
  <c r="P47" i="8"/>
  <c r="P46" i="8"/>
  <c r="P44" i="8" s="1"/>
  <c r="P45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27" i="8" s="1"/>
  <c r="P30" i="8"/>
  <c r="P29" i="8"/>
  <c r="P28" i="8"/>
  <c r="P11" i="8"/>
  <c r="P10" i="8"/>
  <c r="P9" i="8"/>
  <c r="P8" i="8"/>
  <c r="P7" i="8"/>
  <c r="P6" i="8"/>
  <c r="P5" i="8"/>
  <c r="P4" i="8"/>
  <c r="P3" i="8" s="1"/>
  <c r="P1" i="8"/>
  <c r="N1" i="8"/>
  <c r="L1" i="8"/>
  <c r="H1" i="8"/>
  <c r="J1" i="8" s="1"/>
  <c r="P68" i="4"/>
  <c r="P61" i="4"/>
  <c r="P71" i="4" s="1"/>
  <c r="J1" i="4" s="1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11" i="4"/>
  <c r="P10" i="4"/>
  <c r="P9" i="4"/>
  <c r="P8" i="4"/>
  <c r="P7" i="4"/>
  <c r="P6" i="4"/>
  <c r="P5" i="4"/>
  <c r="P4" i="4"/>
  <c r="P3" i="4"/>
  <c r="P1" i="4"/>
  <c r="N1" i="4"/>
  <c r="L1" i="4"/>
  <c r="H1" i="4"/>
  <c r="P68" i="6"/>
  <c r="P61" i="6"/>
  <c r="P71" i="6" s="1"/>
  <c r="J1" i="6" s="1"/>
  <c r="P57" i="6"/>
  <c r="P44" i="6"/>
  <c r="P43" i="6"/>
  <c r="P42" i="6"/>
  <c r="P41" i="6"/>
  <c r="P40" i="6"/>
  <c r="P39" i="6"/>
  <c r="P38" i="6"/>
  <c r="P37" i="6"/>
  <c r="P36" i="6"/>
  <c r="P35" i="6"/>
  <c r="P34" i="6"/>
  <c r="P33" i="6"/>
  <c r="P27" i="6"/>
  <c r="P11" i="6"/>
  <c r="P4" i="6"/>
  <c r="P3" i="6"/>
  <c r="P1" i="6"/>
  <c r="N1" i="6"/>
  <c r="L1" i="6"/>
  <c r="H1" i="6"/>
  <c r="P71" i="5"/>
  <c r="P44" i="5"/>
  <c r="P43" i="5"/>
  <c r="P42" i="5"/>
  <c r="P41" i="5"/>
  <c r="P40" i="5"/>
  <c r="P39" i="5"/>
  <c r="P38" i="5"/>
  <c r="P37" i="5"/>
  <c r="P36" i="5"/>
  <c r="P35" i="5"/>
  <c r="P34" i="5"/>
  <c r="P33" i="5"/>
  <c r="P27" i="5"/>
  <c r="P11" i="5"/>
  <c r="P10" i="5"/>
  <c r="P9" i="5"/>
  <c r="P8" i="5"/>
  <c r="P7" i="5"/>
  <c r="P6" i="5"/>
  <c r="P5" i="5"/>
  <c r="P4" i="5"/>
  <c r="P3" i="5"/>
  <c r="P1" i="5"/>
  <c r="N1" i="5"/>
  <c r="L1" i="5"/>
  <c r="H1" i="5"/>
  <c r="P5" i="3"/>
  <c r="P6" i="3"/>
  <c r="P7" i="3"/>
  <c r="P8" i="3"/>
  <c r="P9" i="3"/>
  <c r="P10" i="3"/>
  <c r="P6" i="1"/>
  <c r="P7" i="1"/>
  <c r="P8" i="1"/>
  <c r="P9" i="1"/>
  <c r="P10" i="1"/>
  <c r="P68" i="3"/>
  <c r="P67" i="3"/>
  <c r="P61" i="3"/>
  <c r="P44" i="3"/>
  <c r="P43" i="3"/>
  <c r="P42" i="3"/>
  <c r="P41" i="3"/>
  <c r="P40" i="3"/>
  <c r="P39" i="3"/>
  <c r="P38" i="3"/>
  <c r="P37" i="3"/>
  <c r="P36" i="3"/>
  <c r="P35" i="3"/>
  <c r="P34" i="3"/>
  <c r="P33" i="3"/>
  <c r="P27" i="3"/>
  <c r="P26" i="3"/>
  <c r="P11" i="3"/>
  <c r="P4" i="3"/>
  <c r="P3" i="3"/>
  <c r="P1" i="3"/>
  <c r="N1" i="3"/>
  <c r="L1" i="3"/>
  <c r="P27" i="2"/>
  <c r="P69" i="2"/>
  <c r="P68" i="2" s="1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 s="1"/>
  <c r="P43" i="2"/>
  <c r="P42" i="2"/>
  <c r="P41" i="2"/>
  <c r="P40" i="2"/>
  <c r="P39" i="2"/>
  <c r="P38" i="2"/>
  <c r="P37" i="2"/>
  <c r="P36" i="2"/>
  <c r="P35" i="2"/>
  <c r="P34" i="2"/>
  <c r="P33" i="2"/>
  <c r="P11" i="2"/>
  <c r="P1" i="2"/>
  <c r="N1" i="2"/>
  <c r="L1" i="2"/>
  <c r="H1" i="2"/>
  <c r="P5" i="1"/>
  <c r="P1" i="1"/>
  <c r="P68" i="1"/>
  <c r="P61" i="1"/>
  <c r="P57" i="1"/>
  <c r="P44" i="1"/>
  <c r="P43" i="1"/>
  <c r="P39" i="1" s="1"/>
  <c r="P42" i="1"/>
  <c r="P41" i="1"/>
  <c r="P40" i="1"/>
  <c r="P38" i="1"/>
  <c r="P37" i="1"/>
  <c r="P36" i="1"/>
  <c r="P35" i="1"/>
  <c r="P34" i="1"/>
  <c r="P27" i="1"/>
  <c r="P11" i="1"/>
  <c r="P3" i="1"/>
  <c r="N1" i="1"/>
  <c r="L1" i="1"/>
  <c r="P71" i="3" l="1"/>
  <c r="J1" i="3" s="1"/>
  <c r="P71" i="2"/>
  <c r="J1" i="2" s="1"/>
  <c r="P33" i="1"/>
  <c r="P71" i="1" s="1"/>
  <c r="J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</author>
  </authors>
  <commentList>
    <comment ref="Q34" authorId="0" shapeId="0" xr:uid="{025BA5A5-6675-46DF-984C-AA5FB39B7288}">
      <text>
        <r>
          <rPr>
            <b/>
            <sz val="9"/>
            <color indexed="81"/>
            <rFont val="Tahoma"/>
            <family val="2"/>
          </rPr>
          <t>Herman:</t>
        </r>
        <r>
          <rPr>
            <sz val="9"/>
            <color indexed="81"/>
            <rFont val="Tahoma"/>
            <family val="2"/>
          </rPr>
          <t xml:space="preserve">
23/06/2025 submit ccr &amp; abnormal parts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</author>
  </authors>
  <commentList>
    <comment ref="Q34" authorId="0" shapeId="0" xr:uid="{87CDDA00-1AB4-4FC4-93B4-30794DC09208}">
      <text>
        <r>
          <rPr>
            <b/>
            <sz val="9"/>
            <color indexed="81"/>
            <rFont val="Tahoma"/>
            <family val="2"/>
          </rPr>
          <t>Herman:</t>
        </r>
        <r>
          <rPr>
            <sz val="9"/>
            <color indexed="81"/>
            <rFont val="Tahoma"/>
            <family val="2"/>
          </rPr>
          <t xml:space="preserve">
23/06/2025 submit ccr &amp; abnormal parts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</author>
  </authors>
  <commentList>
    <comment ref="Q34" authorId="0" shapeId="0" xr:uid="{78EF30D1-BA51-45C6-BD48-33881B6B17A7}">
      <text>
        <r>
          <rPr>
            <b/>
            <sz val="9"/>
            <color indexed="81"/>
            <rFont val="Tahoma"/>
            <family val="2"/>
          </rPr>
          <t>Herman:</t>
        </r>
        <r>
          <rPr>
            <sz val="9"/>
            <color indexed="81"/>
            <rFont val="Tahoma"/>
            <family val="2"/>
          </rPr>
          <t xml:space="preserve">
23/06/2025 submit ccr &amp; abnormal parts
</t>
        </r>
      </text>
    </comment>
  </commentList>
</comments>
</file>

<file path=xl/sharedStrings.xml><?xml version="1.0" encoding="utf-8"?>
<sst xmlns="http://schemas.openxmlformats.org/spreadsheetml/2006/main" count="1162" uniqueCount="111">
  <si>
    <t>WIP:</t>
  </si>
  <si>
    <t>Actual Labor</t>
  </si>
  <si>
    <t>Remaining Labor</t>
  </si>
  <si>
    <t>Progress Dismantle</t>
  </si>
  <si>
    <t>Part Progress</t>
  </si>
  <si>
    <t>Assemble progress</t>
  </si>
  <si>
    <t>Aging</t>
  </si>
  <si>
    <t>Eight Component Rebuild Sub-Processes</t>
  </si>
  <si>
    <t>Component
Storage</t>
  </si>
  <si>
    <t>Men</t>
  </si>
  <si>
    <t>Std Hours</t>
  </si>
  <si>
    <t>Shifts</t>
  </si>
  <si>
    <t>Actual hrs</t>
  </si>
  <si>
    <t>Total</t>
  </si>
  <si>
    <t>Who 
( Name )</t>
  </si>
  <si>
    <t xml:space="preserve"> if job done please klik on box </t>
  </si>
  <si>
    <t>Receive</t>
  </si>
  <si>
    <t>Receipt by Planner</t>
  </si>
  <si>
    <t>Planer</t>
  </si>
  <si>
    <t>Unpacking</t>
  </si>
  <si>
    <t>Technician</t>
  </si>
  <si>
    <t>Pre-inspection for condition and missing parts</t>
  </si>
  <si>
    <t>Photograph component.</t>
  </si>
  <si>
    <t>Open work order</t>
  </si>
  <si>
    <t>Doni</t>
  </si>
  <si>
    <t>Tag component</t>
  </si>
  <si>
    <t>Compile abnormal part list and CCR</t>
  </si>
  <si>
    <t>Disassemble</t>
  </si>
  <si>
    <t>Moving component</t>
  </si>
  <si>
    <t>Disassembly engine and cleaning of all parts</t>
  </si>
  <si>
    <t>Disassembly and cleaning small components as follows :</t>
  </si>
  <si>
    <t>- Crankshaft</t>
  </si>
  <si>
    <t>EA</t>
  </si>
  <si>
    <t>- Camshaft</t>
  </si>
  <si>
    <t>- Cylinder block</t>
  </si>
  <si>
    <t>- Conrod</t>
  </si>
  <si>
    <t>- Cylinder head</t>
  </si>
  <si>
    <t>- Turbocharger</t>
  </si>
  <si>
    <t>- Water Pump</t>
  </si>
  <si>
    <t>- Oil Pump</t>
  </si>
  <si>
    <t xml:space="preserve"> -Fan drive</t>
  </si>
  <si>
    <t xml:space="preserve"> - ECM and Injectors</t>
  </si>
  <si>
    <t xml:space="preserve">Apply contamination control </t>
  </si>
  <si>
    <t>Failure analysis if required.</t>
  </si>
  <si>
    <t>Inspect and Measure</t>
  </si>
  <si>
    <t>Visually inspect parts</t>
  </si>
  <si>
    <t>Measure and record facts &amp; Photograph parts for reports</t>
  </si>
  <si>
    <t>NTD Testing (crack testing).</t>
  </si>
  <si>
    <t>Compare against resuability guides</t>
  </si>
  <si>
    <t>Check for product updates</t>
  </si>
  <si>
    <t>Quotation</t>
  </si>
  <si>
    <t>Prepare Service Parts Requisition (SPR).</t>
  </si>
  <si>
    <t>Foreman</t>
  </si>
  <si>
    <t>Check parts availability.</t>
  </si>
  <si>
    <t>Parts pricing</t>
  </si>
  <si>
    <t>Part dept</t>
  </si>
  <si>
    <t>Complete quote</t>
  </si>
  <si>
    <t>Customer approval</t>
  </si>
  <si>
    <t>sales</t>
  </si>
  <si>
    <t>Parts Order</t>
  </si>
  <si>
    <t>Enter order into system</t>
  </si>
  <si>
    <t>Follow-up back orders</t>
  </si>
  <si>
    <t>Part collection / delivery</t>
  </si>
  <si>
    <t>Part receiving</t>
  </si>
  <si>
    <t>Assemble</t>
  </si>
  <si>
    <t>Verify correct parts</t>
  </si>
  <si>
    <t>Final clean / confirm cc control</t>
  </si>
  <si>
    <t>Assemble engine, follow procedures</t>
  </si>
  <si>
    <t>Assemble components as follow :</t>
  </si>
  <si>
    <t xml:space="preserve"> - ECM and Injectors.</t>
  </si>
  <si>
    <t>Test and Adjust</t>
  </si>
  <si>
    <t>Test preparation</t>
  </si>
  <si>
    <t>Bench test performance</t>
  </si>
  <si>
    <t>Install on proper stand</t>
  </si>
  <si>
    <t>Paint</t>
  </si>
  <si>
    <t>Plug and cover</t>
  </si>
  <si>
    <t>Clean and prepare for painting</t>
  </si>
  <si>
    <t>Install component ID tag.</t>
  </si>
  <si>
    <t>Final inspection.</t>
  </si>
  <si>
    <t>Shrink wrap.</t>
  </si>
  <si>
    <t>Completing plug and play parts</t>
  </si>
  <si>
    <t>Installation other attachments such as V-belts, Alternator, Starting motor, AC compressor, Air cleaner, Heat Shields, etc..</t>
  </si>
  <si>
    <t>Retorque bolt after dyno test</t>
  </si>
  <si>
    <t>Notes</t>
  </si>
  <si>
    <t>Total Hours</t>
  </si>
  <si>
    <t>Hours are for service directs only, those who book time to the work order.</t>
  </si>
  <si>
    <t>y</t>
  </si>
  <si>
    <t xml:space="preserve"> </t>
  </si>
  <si>
    <t>Unit No : 
SN : 
Comp : Engine C27</t>
  </si>
  <si>
    <t xml:space="preserve">SO : </t>
  </si>
  <si>
    <t>Man power</t>
  </si>
  <si>
    <t>Unit No : 
SN : 
Comp : Engine 3406</t>
  </si>
  <si>
    <t>SO :</t>
  </si>
  <si>
    <t>Actual Labor:</t>
  </si>
  <si>
    <t>Man Power</t>
  </si>
  <si>
    <t xml:space="preserve"> - Nozzle</t>
  </si>
  <si>
    <t>Herman</t>
  </si>
  <si>
    <t>N</t>
  </si>
  <si>
    <t>Rahmat</t>
  </si>
  <si>
    <t>Yudhistira</t>
  </si>
  <si>
    <t>Rahmat, irwan</t>
  </si>
  <si>
    <t>Irwan</t>
  </si>
  <si>
    <t xml:space="preserve"> - FIP &amp; Nozzle.</t>
  </si>
  <si>
    <t xml:space="preserve">SO </t>
  </si>
  <si>
    <t>Unit No : 
SN : 
Comp : Engine 3306</t>
  </si>
  <si>
    <t>Unit No : 
SN : 
Comp : Engine C-9</t>
  </si>
  <si>
    <t>Maulana</t>
  </si>
  <si>
    <t>Unit No : 
SN : R9H 
Comp : Engine C13</t>
  </si>
  <si>
    <t>Unit No :
SN : 38S24696
Comp : Engine 3412</t>
  </si>
  <si>
    <t xml:space="preserve"> - Fan drive</t>
  </si>
  <si>
    <t>Unit No :
SN : 7KK00299
Comp : Engine 3412E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</si>
</sst>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gray125">
        <fgColor theme="9"/>
        <bgColor rgb="FFFFC000"/>
      </patternFill>
    </fill>
    <fill>
      <patternFill patternType="gray125">
        <fgColor theme="9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6" xfId="1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9" fontId="4" fillId="3" borderId="4" xfId="1" applyFont="1" applyFill="1" applyBorder="1" applyAlignment="1">
      <alignment horizontal="center" vertical="center" wrapText="1"/>
    </xf>
    <xf numFmtId="9" fontId="4" fillId="3" borderId="2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9" fontId="4" fillId="3" borderId="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0" fontId="2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0" fillId="6" borderId="0" xfId="0" applyFill="1"/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2" fillId="7" borderId="10" xfId="0" applyFont="1" applyFill="1" applyBorder="1"/>
    <xf numFmtId="0" fontId="2" fillId="6" borderId="10" xfId="0" applyFont="1" applyFill="1" applyBorder="1"/>
    <xf numFmtId="0" fontId="2" fillId="6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8" borderId="0" xfId="0" applyNumberFormat="1" applyFont="1" applyFill="1"/>
    <xf numFmtId="0" fontId="0" fillId="0" borderId="12" xfId="0" applyBorder="1" applyAlignment="1">
      <alignment horizontal="center"/>
    </xf>
    <xf numFmtId="0" fontId="0" fillId="0" borderId="12" xfId="0" applyBorder="1"/>
    <xf numFmtId="0" fontId="1" fillId="0" borderId="13" xfId="0" applyFont="1" applyBorder="1"/>
    <xf numFmtId="0" fontId="0" fillId="9" borderId="1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1" fillId="0" borderId="12" xfId="0" applyFont="1" applyBorder="1" applyAlignment="1">
      <alignment horizontal="center"/>
    </xf>
    <xf numFmtId="0" fontId="6" fillId="0" borderId="13" xfId="0" applyFont="1" applyBorder="1"/>
    <xf numFmtId="0" fontId="0" fillId="6" borderId="13" xfId="0" applyFill="1" applyBorder="1" applyAlignment="1">
      <alignment horizontal="center"/>
    </xf>
    <xf numFmtId="0" fontId="1" fillId="7" borderId="12" xfId="0" applyFont="1" applyFill="1" applyBorder="1"/>
    <xf numFmtId="0" fontId="2" fillId="6" borderId="14" xfId="0" applyFont="1" applyFill="1" applyBorder="1"/>
    <xf numFmtId="0" fontId="2" fillId="6" borderId="12" xfId="0" applyFont="1" applyFill="1" applyBorder="1" applyAlignment="1">
      <alignment horizontal="center" vertical="center"/>
    </xf>
    <xf numFmtId="0" fontId="2" fillId="8" borderId="0" xfId="0" applyFont="1" applyFill="1"/>
    <xf numFmtId="0" fontId="1" fillId="0" borderId="0" xfId="0" quotePrefix="1" applyFont="1"/>
    <xf numFmtId="0" fontId="0" fillId="0" borderId="0" xfId="0" quotePrefix="1"/>
    <xf numFmtId="0" fontId="1" fillId="0" borderId="0" xfId="0" applyFont="1"/>
    <xf numFmtId="0" fontId="0" fillId="9" borderId="12" xfId="0" applyFill="1" applyBorder="1"/>
    <xf numFmtId="0" fontId="2" fillId="7" borderId="0" xfId="0" applyFont="1" applyFill="1"/>
    <xf numFmtId="0" fontId="2" fillId="6" borderId="12" xfId="0" applyFont="1" applyFill="1" applyBorder="1"/>
    <xf numFmtId="0" fontId="0" fillId="0" borderId="13" xfId="0" applyBorder="1"/>
    <xf numFmtId="0" fontId="0" fillId="10" borderId="12" xfId="0" applyFill="1" applyBorder="1"/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/>
    <xf numFmtId="0" fontId="0" fillId="10" borderId="0" xfId="0" applyFill="1"/>
    <xf numFmtId="0" fontId="0" fillId="10" borderId="13" xfId="0" applyFill="1" applyBorder="1"/>
    <xf numFmtId="0" fontId="0" fillId="10" borderId="12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center" vertical="center"/>
    </xf>
    <xf numFmtId="0" fontId="2" fillId="6" borderId="0" xfId="0" applyFont="1" applyFill="1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right" vertical="center"/>
    </xf>
    <xf numFmtId="0" fontId="2" fillId="0" borderId="17" xfId="0" applyFont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 wrapText="1"/>
    </xf>
    <xf numFmtId="1" fontId="3" fillId="3" borderId="18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4" fillId="4" borderId="20" xfId="1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9" fontId="4" fillId="3" borderId="18" xfId="1" applyFont="1" applyFill="1" applyBorder="1" applyAlignment="1">
      <alignment horizontal="center" vertical="center" wrapText="1"/>
    </xf>
    <xf numFmtId="9" fontId="4" fillId="3" borderId="16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9" fontId="4" fillId="3" borderId="21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1" fontId="4" fillId="3" borderId="17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2" borderId="22" xfId="0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9" fontId="4" fillId="3" borderId="20" xfId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/>
    </xf>
    <xf numFmtId="1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3" xfId="1" applyNumberFormat="1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 wrapText="1"/>
    </xf>
    <xf numFmtId="9" fontId="4" fillId="3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2" xfId="0" applyBorder="1" applyAlignment="1">
      <alignment vertical="center"/>
    </xf>
    <xf numFmtId="0" fontId="6" fillId="0" borderId="13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22/11/relationships/FeaturePropertyBag" Target="featurePropertyBag/featurePropertyBag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tpra.fmi.com/Documents%20and%20Settings/sroberts/My%20Documents/Data/Data%20Trakindo/Forms/Service/Data/Data%20KKCRC%20Service/Quotes/KPI/Rebuilds%202004/D10N's/2YD2219/D10N%202yd2219%20Rebuild%20Pric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-D0182\2007%20JOB%20FILE%20-%20ON%20PROGRESS%20ONLY\Documents%20and%20Settings\sroberts\My%20Documents\Data\Data%20Trakindo\Forms\Service\Data\Data%20KKCRC%20Service\Quotes\KPI\Rebuilds%202004\D10N's\2YD2219\D10N%202yd2219%20Rebuild%20Pric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rniawana\DRIVE_D\DOCUME~1\KURNIA~1\LOCALS~1\Temp\Downtime%20Aug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ice rotables"/>
      <sheetName val="Price Compnt Rbld"/>
      <sheetName val="Failed Iron"/>
      <sheetName val="Blast &amp; Paint"/>
      <sheetName val="Undercarriage"/>
      <sheetName val="Consumabl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ice rotables"/>
      <sheetName val="Price Compnt Rbld"/>
      <sheetName val="Failed Iron"/>
      <sheetName val="Blast &amp; Paint"/>
      <sheetName val="Undercarriage"/>
      <sheetName val="Consumabl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"/>
      <sheetName val="TT"/>
      <sheetName val="query"/>
      <sheetName val="Dec-Mar"/>
      <sheetName val="Apr-Jun"/>
      <sheetName val="Jul-Sep"/>
      <sheetName val="template"/>
    </sheetNames>
    <sheetDataSet>
      <sheetData sheetId="0" refreshError="1"/>
      <sheetData sheetId="1" refreshError="1"/>
      <sheetData sheetId="2">
        <row r="4">
          <cell r="A4" t="str">
            <v>1 - 105</v>
          </cell>
          <cell r="B4">
            <v>5.8417476851851848</v>
          </cell>
          <cell r="C4" t="str">
            <v>Hydraulic System</v>
          </cell>
          <cell r="D4">
            <v>2.3833594031295556E-2</v>
          </cell>
          <cell r="F4" t="str">
            <v>1 - 229</v>
          </cell>
          <cell r="G4">
            <v>6.7820370370370364</v>
          </cell>
          <cell r="H4" t="str">
            <v>Frame</v>
          </cell>
          <cell r="I4">
            <v>2.7669856035698891E-2</v>
          </cell>
          <cell r="P4" t="str">
            <v>1 - 229</v>
          </cell>
          <cell r="Q4">
            <v>6.7820370370370364</v>
          </cell>
          <cell r="R4" t="str">
            <v>Frame</v>
          </cell>
          <cell r="S4">
            <v>2.7669856035698891E-2</v>
          </cell>
        </row>
        <row r="5">
          <cell r="A5" t="str">
            <v>2 - 118</v>
          </cell>
          <cell r="B5">
            <v>3.8700231481481486</v>
          </cell>
          <cell r="C5" t="str">
            <v>Suspension</v>
          </cell>
          <cell r="D5">
            <v>1.5789206514104252E-2</v>
          </cell>
          <cell r="F5" t="str">
            <v>2 - 202</v>
          </cell>
          <cell r="G5">
            <v>6.0418750000000001</v>
          </cell>
          <cell r="H5" t="str">
            <v xml:space="preserve">PM </v>
          </cell>
          <cell r="I5">
            <v>2.4650088243800796E-2</v>
          </cell>
          <cell r="P5" t="str">
            <v>2 - 202</v>
          </cell>
          <cell r="Q5">
            <v>6.0418750000000001</v>
          </cell>
          <cell r="R5" t="str">
            <v xml:space="preserve">PM </v>
          </cell>
          <cell r="S5">
            <v>2.4650088243800796E-2</v>
          </cell>
        </row>
        <row r="6">
          <cell r="A6" t="str">
            <v>3 - 127</v>
          </cell>
          <cell r="B6">
            <v>3.5015277777777771</v>
          </cell>
          <cell r="C6" t="str">
            <v>Light system</v>
          </cell>
          <cell r="D6">
            <v>1.4285791862682017E-2</v>
          </cell>
          <cell r="F6" t="str">
            <v>3 - 216</v>
          </cell>
          <cell r="G6">
            <v>0.70438657407407401</v>
          </cell>
          <cell r="H6" t="str">
            <v>Brake System</v>
          </cell>
          <cell r="I6">
            <v>2.8738084135594417E-3</v>
          </cell>
          <cell r="P6" t="str">
            <v>3 - 105</v>
          </cell>
          <cell r="Q6">
            <v>5.8417476851851848</v>
          </cell>
          <cell r="R6" t="str">
            <v>Hydraulic System</v>
          </cell>
          <cell r="S6">
            <v>2.3833594031295556E-2</v>
          </cell>
        </row>
        <row r="7">
          <cell r="A7" t="str">
            <v>4 - 108</v>
          </cell>
          <cell r="B7">
            <v>3.423784722222222</v>
          </cell>
          <cell r="C7" t="str">
            <v>Engine</v>
          </cell>
          <cell r="D7">
            <v>1.3968609997816038E-2</v>
          </cell>
          <cell r="F7" t="str">
            <v>4 - 219</v>
          </cell>
          <cell r="G7">
            <v>0.4748263888888889</v>
          </cell>
          <cell r="H7" t="str">
            <v>Hoist Cylinder</v>
          </cell>
          <cell r="I7">
            <v>1.9372318008228217E-3</v>
          </cell>
          <cell r="P7" t="str">
            <v>4 - 118/218</v>
          </cell>
          <cell r="Q7">
            <v>4.1390856481481482</v>
          </cell>
          <cell r="R7" t="str">
            <v>Suspension</v>
          </cell>
          <cell r="S7">
            <v>1.6886947590855697E-2</v>
          </cell>
        </row>
        <row r="8">
          <cell r="A8" t="str">
            <v>5 - 116</v>
          </cell>
          <cell r="B8">
            <v>2.5349652777777778</v>
          </cell>
          <cell r="C8" t="str">
            <v>Brake System</v>
          </cell>
          <cell r="D8">
            <v>1.034233872633797E-2</v>
          </cell>
          <cell r="F8" t="str">
            <v>5 - 208</v>
          </cell>
          <cell r="G8">
            <v>0.47298611111111111</v>
          </cell>
          <cell r="H8" t="str">
            <v>Engine</v>
          </cell>
          <cell r="I8">
            <v>1.9297236995106746E-3</v>
          </cell>
          <cell r="P8" t="str">
            <v>5 - 108/208</v>
          </cell>
          <cell r="Q8">
            <v>3.8967708333333331</v>
          </cell>
          <cell r="R8" t="str">
            <v>Engine</v>
          </cell>
          <cell r="S8">
            <v>1.5898333697326711E-2</v>
          </cell>
        </row>
        <row r="9">
          <cell r="A9" t="str">
            <v>6 - 117</v>
          </cell>
          <cell r="B9">
            <v>2.3511805555555552</v>
          </cell>
          <cell r="C9" t="str">
            <v>Steering System</v>
          </cell>
          <cell r="D9">
            <v>9.5925202311456324E-3</v>
          </cell>
          <cell r="F9" t="str">
            <v>6 - 218</v>
          </cell>
          <cell r="G9">
            <v>0.26906249999999998</v>
          </cell>
          <cell r="H9" t="str">
            <v>Suspension</v>
          </cell>
          <cell r="I9">
            <v>1.0977410767514474E-3</v>
          </cell>
          <cell r="P9" t="str">
            <v>6 - 127</v>
          </cell>
          <cell r="Q9">
            <v>3.5015277777777771</v>
          </cell>
          <cell r="R9" t="str">
            <v>Light system</v>
          </cell>
          <cell r="S9">
            <v>1.4285791862682017E-2</v>
          </cell>
        </row>
        <row r="10">
          <cell r="A10" t="str">
            <v>7 - 107</v>
          </cell>
          <cell r="B10">
            <v>1.8534953703703705</v>
          </cell>
          <cell r="C10" t="str">
            <v>Transmission</v>
          </cell>
          <cell r="D10">
            <v>7.5620274234580939E-3</v>
          </cell>
          <cell r="F10" t="str">
            <v>7 - 207</v>
          </cell>
          <cell r="G10">
            <v>7.8958333333333339E-2</v>
          </cell>
          <cell r="H10" t="str">
            <v>Transmission</v>
          </cell>
          <cell r="I10">
            <v>3.2214004497777671E-4</v>
          </cell>
          <cell r="P10" t="str">
            <v>7 - 116/216</v>
          </cell>
          <cell r="Q10">
            <v>3.2393518518518518</v>
          </cell>
          <cell r="R10" t="str">
            <v>Brake System</v>
          </cell>
          <cell r="S10">
            <v>1.3216147139897411E-2</v>
          </cell>
        </row>
        <row r="11">
          <cell r="A11" t="str">
            <v>8 - 110</v>
          </cell>
          <cell r="B11">
            <v>1.7074768518518519</v>
          </cell>
          <cell r="C11" t="str">
            <v>Air System</v>
          </cell>
          <cell r="D11">
            <v>6.9662902778351637E-3</v>
          </cell>
          <cell r="P11" t="str">
            <v>8 - 117</v>
          </cell>
          <cell r="Q11">
            <v>2.3511805555555552</v>
          </cell>
          <cell r="R11" t="str">
            <v>Steering System</v>
          </cell>
          <cell r="S11">
            <v>9.5925202311456324E-3</v>
          </cell>
        </row>
        <row r="12">
          <cell r="A12" t="str">
            <v>9 - 103</v>
          </cell>
          <cell r="B12">
            <v>1.6605671296296296</v>
          </cell>
          <cell r="C12" t="str">
            <v>Fuel System</v>
          </cell>
          <cell r="D12">
            <v>6.7749045255198707E-3</v>
          </cell>
          <cell r="P12" t="str">
            <v>9 - 107/207</v>
          </cell>
          <cell r="Q12">
            <v>1.9324537037037037</v>
          </cell>
          <cell r="R12" t="str">
            <v>Transmission</v>
          </cell>
          <cell r="S12">
            <v>7.8841674684358709E-3</v>
          </cell>
        </row>
        <row r="13">
          <cell r="A13" t="str">
            <v>10 - 121</v>
          </cell>
          <cell r="B13">
            <v>1.5792476851851853</v>
          </cell>
          <cell r="C13" t="str">
            <v>Tire related job</v>
          </cell>
          <cell r="D13">
            <v>6.4431314448963207E-3</v>
          </cell>
          <cell r="P13" t="str">
            <v>10 - 110</v>
          </cell>
          <cell r="Q13">
            <v>1.7074768518518519</v>
          </cell>
          <cell r="R13" t="str">
            <v>Air System</v>
          </cell>
          <cell r="S13">
            <v>6.9662902778351637E-3</v>
          </cell>
        </row>
        <row r="17">
          <cell r="A17" t="str">
            <v>1 - 108</v>
          </cell>
          <cell r="B17">
            <v>20.122094907407408</v>
          </cell>
          <cell r="C17" t="str">
            <v>Engine</v>
          </cell>
          <cell r="D17">
            <v>3.6279279391387018E-2</v>
          </cell>
          <cell r="F17" t="str">
            <v>1 - 202</v>
          </cell>
          <cell r="G17">
            <v>18.478842592592592</v>
          </cell>
          <cell r="H17" t="str">
            <v xml:space="preserve">PM </v>
          </cell>
          <cell r="I17">
            <v>3.33165655132329E-2</v>
          </cell>
          <cell r="P17" t="str">
            <v>1 - 108</v>
          </cell>
          <cell r="Q17">
            <v>20.122094907407408</v>
          </cell>
          <cell r="R17" t="str">
            <v>Engine</v>
          </cell>
          <cell r="S17">
            <v>3.6279279391387018E-2</v>
          </cell>
        </row>
        <row r="18">
          <cell r="A18" t="str">
            <v>2 - 131</v>
          </cell>
          <cell r="B18">
            <v>8.4511574074074076</v>
          </cell>
          <cell r="C18" t="str">
            <v>Dumpbody</v>
          </cell>
          <cell r="D18">
            <v>1.5237076565574494E-2</v>
          </cell>
          <cell r="F18" t="str">
            <v>2 - 229</v>
          </cell>
          <cell r="G18">
            <v>8.8836921296296296</v>
          </cell>
          <cell r="H18" t="str">
            <v>Frame</v>
          </cell>
          <cell r="I18">
            <v>1.6016918232467703E-2</v>
          </cell>
          <cell r="P18" t="str">
            <v>2 - 202</v>
          </cell>
          <cell r="Q18">
            <v>18.478842592592592</v>
          </cell>
          <cell r="R18" t="str">
            <v xml:space="preserve">PM </v>
          </cell>
          <cell r="S18">
            <v>3.33165655132329E-2</v>
          </cell>
        </row>
        <row r="19">
          <cell r="A19" t="str">
            <v>3 - 111</v>
          </cell>
          <cell r="B19">
            <v>6.9256944444444448</v>
          </cell>
          <cell r="C19" t="str">
            <v>Cooling System</v>
          </cell>
          <cell r="D19">
            <v>1.2486731867907181E-2</v>
          </cell>
          <cell r="F19" t="str">
            <v>3 - 218</v>
          </cell>
          <cell r="G19">
            <v>5.251747685185185</v>
          </cell>
          <cell r="H19" t="str">
            <v>Suspension</v>
          </cell>
          <cell r="I19">
            <v>9.4686772148045578E-3</v>
          </cell>
          <cell r="P19" t="str">
            <v>3 - 118/218</v>
          </cell>
          <cell r="Q19">
            <v>9.7359837962962956</v>
          </cell>
          <cell r="R19" t="str">
            <v>Suspension</v>
          </cell>
          <cell r="S19">
            <v>1.7553563777587777E-2</v>
          </cell>
        </row>
        <row r="20">
          <cell r="A20" t="str">
            <v>4 - 116</v>
          </cell>
          <cell r="B20">
            <v>6.6653240740740749</v>
          </cell>
          <cell r="C20" t="str">
            <v>Brake System</v>
          </cell>
          <cell r="D20">
            <v>1.2017295188705939E-2</v>
          </cell>
          <cell r="F20" t="str">
            <v>4 - 217</v>
          </cell>
          <cell r="G20">
            <v>0.99089120370370365</v>
          </cell>
          <cell r="H20" t="str">
            <v>Steering System</v>
          </cell>
          <cell r="I20">
            <v>1.7865346024384795E-3</v>
          </cell>
          <cell r="P20" t="str">
            <v>4 - 129/229</v>
          </cell>
          <cell r="Q20">
            <v>9.162638888888889</v>
          </cell>
          <cell r="R20" t="str">
            <v>Frame</v>
          </cell>
          <cell r="S20">
            <v>1.6519847348996385E-2</v>
          </cell>
        </row>
        <row r="21">
          <cell r="A21" t="str">
            <v>5 - 117</v>
          </cell>
          <cell r="B21">
            <v>6.3619212962962957</v>
          </cell>
          <cell r="C21" t="str">
            <v>Steering System</v>
          </cell>
          <cell r="D21">
            <v>1.147027291325335E-2</v>
          </cell>
          <cell r="F21" t="str">
            <v>5 - 211</v>
          </cell>
          <cell r="G21">
            <v>0.43203703703703705</v>
          </cell>
          <cell r="H21" t="str">
            <v>Cooling System</v>
          </cell>
          <cell r="I21">
            <v>7.7894436171870593E-4</v>
          </cell>
          <cell r="P21" t="str">
            <v>5 - 131</v>
          </cell>
          <cell r="Q21">
            <v>8.4511574074074076</v>
          </cell>
          <cell r="R21" t="str">
            <v>Dumpbody</v>
          </cell>
          <cell r="S21">
            <v>1.5237076565574494E-2</v>
          </cell>
        </row>
        <row r="22">
          <cell r="A22" t="str">
            <v>6 - 107</v>
          </cell>
          <cell r="B22">
            <v>6.0821990740740741</v>
          </cell>
          <cell r="C22" t="str">
            <v>Transmission</v>
          </cell>
          <cell r="D22">
            <v>1.0965945670057421E-2</v>
          </cell>
          <cell r="F22" t="str">
            <v>6 - 209</v>
          </cell>
          <cell r="G22">
            <v>0.24351851851851852</v>
          </cell>
          <cell r="H22" t="str">
            <v>Differential</v>
          </cell>
          <cell r="I22">
            <v>4.3905350864127663E-4</v>
          </cell>
          <cell r="P22" t="str">
            <v>6 - 111/211</v>
          </cell>
          <cell r="Q22">
            <v>7.3577314814814816</v>
          </cell>
          <cell r="R22" t="str">
            <v>Cooling System</v>
          </cell>
          <cell r="S22">
            <v>1.3265676229625887E-2</v>
          </cell>
        </row>
        <row r="23">
          <cell r="A23" t="str">
            <v>7 - 110</v>
          </cell>
          <cell r="B23">
            <v>6.0185995370370371</v>
          </cell>
          <cell r="C23" t="str">
            <v>Air System</v>
          </cell>
          <cell r="D23">
            <v>1.0851278415780624E-2</v>
          </cell>
          <cell r="F23" t="str">
            <v>7 - 205</v>
          </cell>
          <cell r="G23">
            <v>0.17548611111111112</v>
          </cell>
          <cell r="H23" t="str">
            <v>Hydraulic System</v>
          </cell>
          <cell r="I23">
            <v>3.1639397804272986E-4</v>
          </cell>
          <cell r="P23" t="str">
            <v>7 - 117/217</v>
          </cell>
          <cell r="Q23">
            <v>7.3528124999999998</v>
          </cell>
          <cell r="R23" t="str">
            <v>Steering System</v>
          </cell>
          <cell r="S23">
            <v>1.325680751569183E-2</v>
          </cell>
        </row>
        <row r="24">
          <cell r="A24" t="str">
            <v>8 - 118</v>
          </cell>
          <cell r="B24">
            <v>4.4842361111111115</v>
          </cell>
          <cell r="C24" t="str">
            <v>Suspension</v>
          </cell>
          <cell r="D24">
            <v>8.0848865627832188E-3</v>
          </cell>
          <cell r="P24" t="str">
            <v>8 - 116</v>
          </cell>
          <cell r="Q24">
            <v>6.6653240740740749</v>
          </cell>
          <cell r="R24" t="str">
            <v>Brake System</v>
          </cell>
          <cell r="S24">
            <v>1.2017295188705939E-2</v>
          </cell>
        </row>
        <row r="25">
          <cell r="A25" t="str">
            <v>9 - 121</v>
          </cell>
          <cell r="B25">
            <v>3.6186342592592595</v>
          </cell>
          <cell r="C25" t="str">
            <v>Tire related job</v>
          </cell>
          <cell r="D25">
            <v>6.5242433211357004E-3</v>
          </cell>
          <cell r="P25" t="str">
            <v>9 - 107</v>
          </cell>
          <cell r="Q25">
            <v>6.0821990740740741</v>
          </cell>
          <cell r="R25" t="str">
            <v>Transmission</v>
          </cell>
          <cell r="S25">
            <v>1.0965945670057421E-2</v>
          </cell>
        </row>
        <row r="26">
          <cell r="A26" t="str">
            <v>10 - 135</v>
          </cell>
          <cell r="B26">
            <v>2.5598495370370369</v>
          </cell>
          <cell r="C26" t="str">
            <v>Mirror cabin</v>
          </cell>
          <cell r="D26">
            <v>4.6152995988450463E-3</v>
          </cell>
          <cell r="P26" t="str">
            <v>10 - 110</v>
          </cell>
          <cell r="Q26">
            <v>6.0185995370370371</v>
          </cell>
          <cell r="R26" t="str">
            <v>Air System</v>
          </cell>
          <cell r="S26">
            <v>1.0851278415780624E-2</v>
          </cell>
        </row>
        <row r="30">
          <cell r="A30" t="str">
            <v>1 - 108</v>
          </cell>
          <cell r="B30">
            <v>14.010856481481483</v>
          </cell>
          <cell r="C30" t="str">
            <v>Engine</v>
          </cell>
          <cell r="D30">
            <v>7.2431264462640213E-2</v>
          </cell>
          <cell r="F30" t="str">
            <v>1 - 202</v>
          </cell>
          <cell r="G30">
            <v>7.9635300925925936</v>
          </cell>
          <cell r="H30" t="str">
            <v xml:space="preserve">PM </v>
          </cell>
          <cell r="I30">
            <v>4.1168686222369834E-2</v>
          </cell>
          <cell r="P30" t="str">
            <v>1 - 108/208</v>
          </cell>
          <cell r="Q30">
            <v>15.557314814814816</v>
          </cell>
          <cell r="R30" t="str">
            <v>Engine</v>
          </cell>
          <cell r="S30">
            <v>8.0425917228527113E-2</v>
          </cell>
        </row>
        <row r="31">
          <cell r="A31" t="str">
            <v>2 - 118</v>
          </cell>
          <cell r="B31">
            <v>11.957222222222223</v>
          </cell>
          <cell r="C31" t="str">
            <v>Suspension</v>
          </cell>
          <cell r="D31">
            <v>6.1814688214175385E-2</v>
          </cell>
          <cell r="F31" t="str">
            <v>2 - 229</v>
          </cell>
          <cell r="G31">
            <v>5.2793981481481485</v>
          </cell>
          <cell r="H31" t="str">
            <v>Frame</v>
          </cell>
          <cell r="I31">
            <v>2.7292655804269428E-2</v>
          </cell>
          <cell r="P31" t="str">
            <v>2 - 118/218</v>
          </cell>
          <cell r="Q31">
            <v>12.851793981481482</v>
          </cell>
          <cell r="R31" t="str">
            <v>Suspension</v>
          </cell>
          <cell r="S31">
            <v>6.6439313679532042E-2</v>
          </cell>
        </row>
        <row r="32">
          <cell r="A32" t="str">
            <v>3 - 112</v>
          </cell>
          <cell r="B32">
            <v>7.1127893518518528</v>
          </cell>
          <cell r="C32" t="str">
            <v>Electric System</v>
          </cell>
          <cell r="D32">
            <v>3.6770651907823818E-2</v>
          </cell>
          <cell r="F32" t="str">
            <v>3 - 208</v>
          </cell>
          <cell r="G32">
            <v>1.5464583333333335</v>
          </cell>
          <cell r="H32" t="str">
            <v>Engine</v>
          </cell>
          <cell r="I32">
            <v>7.9946527658869108E-3</v>
          </cell>
          <cell r="P32" t="str">
            <v>3 - 112/212</v>
          </cell>
          <cell r="Q32">
            <v>8.4717013888888903</v>
          </cell>
          <cell r="R32" t="str">
            <v>Electric System</v>
          </cell>
          <cell r="S32">
            <v>4.3795755424242626E-2</v>
          </cell>
        </row>
        <row r="33">
          <cell r="A33" t="str">
            <v>4 - 117</v>
          </cell>
          <cell r="B33">
            <v>4.987430555555556</v>
          </cell>
          <cell r="C33" t="str">
            <v>Steering System</v>
          </cell>
          <cell r="D33">
            <v>2.5783284700401095E-2</v>
          </cell>
          <cell r="F33" t="str">
            <v>4 - 212</v>
          </cell>
          <cell r="G33">
            <v>1.3589120370370369</v>
          </cell>
          <cell r="H33" t="str">
            <v>Electric System</v>
          </cell>
          <cell r="I33">
            <v>7.0251035164188031E-3</v>
          </cell>
          <cell r="P33" t="str">
            <v>4 - 202</v>
          </cell>
          <cell r="Q33">
            <v>7.9635300925925936</v>
          </cell>
          <cell r="R33" t="str">
            <v xml:space="preserve">PM </v>
          </cell>
          <cell r="S33">
            <v>4.1168686222369834E-2</v>
          </cell>
        </row>
        <row r="34">
          <cell r="A34" t="str">
            <v>5 - 111</v>
          </cell>
          <cell r="B34">
            <v>3.5140162037037039</v>
          </cell>
          <cell r="C34" t="str">
            <v>Cooling System</v>
          </cell>
          <cell r="D34">
            <v>1.816624396323507E-2</v>
          </cell>
          <cell r="F34" t="str">
            <v>5 - 218</v>
          </cell>
          <cell r="G34">
            <v>0.89457175925925936</v>
          </cell>
          <cell r="H34" t="str">
            <v>Suspension</v>
          </cell>
          <cell r="I34">
            <v>4.6246254653566632E-3</v>
          </cell>
          <cell r="P34" t="str">
            <v>5 - 129/229</v>
          </cell>
          <cell r="Q34">
            <v>7.946655092592593</v>
          </cell>
          <cell r="R34" t="str">
            <v>Frame</v>
          </cell>
          <cell r="S34">
            <v>4.1081448330138007E-2</v>
          </cell>
        </row>
        <row r="35">
          <cell r="A35" t="str">
            <v>6 - 129</v>
          </cell>
          <cell r="B35">
            <v>2.6672569444444445</v>
          </cell>
          <cell r="C35" t="str">
            <v>Frame</v>
          </cell>
          <cell r="D35">
            <v>1.3788792525868579E-2</v>
          </cell>
          <cell r="F35" t="str">
            <v>6 - 211</v>
          </cell>
          <cell r="G35">
            <v>0.33910879629629626</v>
          </cell>
          <cell r="H35" t="str">
            <v>Cooling System</v>
          </cell>
          <cell r="I35">
            <v>1.7530747630317223E-3</v>
          </cell>
          <cell r="P35" t="str">
            <v>6 - 117</v>
          </cell>
          <cell r="Q35">
            <v>4.987430555555556</v>
          </cell>
          <cell r="R35" t="str">
            <v>Steering System</v>
          </cell>
          <cell r="S35">
            <v>2.5783284700401095E-2</v>
          </cell>
        </row>
        <row r="36">
          <cell r="A36" t="str">
            <v>7 - 121</v>
          </cell>
          <cell r="B36">
            <v>2.6083333333333334</v>
          </cell>
          <cell r="C36" t="str">
            <v>Tire related job</v>
          </cell>
          <cell r="D36">
            <v>1.3484177910400661E-2</v>
          </cell>
          <cell r="P36" t="str">
            <v>7 - 111/211</v>
          </cell>
          <cell r="Q36">
            <v>3.8531249999999999</v>
          </cell>
          <cell r="R36" t="str">
            <v>Cooling System</v>
          </cell>
          <cell r="S36">
            <v>1.9919318726266792E-2</v>
          </cell>
        </row>
        <row r="37">
          <cell r="A37" t="str">
            <v>8 - 110</v>
          </cell>
          <cell r="B37">
            <v>2.3816435185185187</v>
          </cell>
          <cell r="C37" t="str">
            <v>Air System</v>
          </cell>
          <cell r="D37">
            <v>1.2312270257964084E-2</v>
          </cell>
          <cell r="P37" t="str">
            <v>8 - 121</v>
          </cell>
          <cell r="Q37">
            <v>2.6083333333333334</v>
          </cell>
          <cell r="R37" t="str">
            <v>Tire related job</v>
          </cell>
          <cell r="S37">
            <v>1.3484177910400661E-2</v>
          </cell>
        </row>
        <row r="38">
          <cell r="A38" t="str">
            <v>9 - 119</v>
          </cell>
          <cell r="B38">
            <v>1.8581712962962964</v>
          </cell>
          <cell r="C38" t="str">
            <v>Hoist Cylinder</v>
          </cell>
          <cell r="D38">
            <v>9.6061005804188165E-3</v>
          </cell>
          <cell r="P38" t="str">
            <v>9 - 110</v>
          </cell>
          <cell r="Q38">
            <v>2.3816435185185187</v>
          </cell>
          <cell r="R38" t="str">
            <v>Air System</v>
          </cell>
          <cell r="S38">
            <v>1.2312270257964084E-2</v>
          </cell>
        </row>
        <row r="39">
          <cell r="A39" t="str">
            <v>10 - 128</v>
          </cell>
          <cell r="B39">
            <v>1.7976041666666667</v>
          </cell>
          <cell r="C39" t="str">
            <v>Cabin</v>
          </cell>
          <cell r="D39">
            <v>9.2929895447198159E-3</v>
          </cell>
          <cell r="P39" t="str">
            <v>10 - 119</v>
          </cell>
          <cell r="Q39">
            <v>1.8581712962962964</v>
          </cell>
          <cell r="R39" t="str">
            <v>Hoist Cylinder</v>
          </cell>
          <cell r="S39">
            <v>9.6061005804188165E-3</v>
          </cell>
        </row>
        <row r="43">
          <cell r="A43" t="str">
            <v>1 - 112</v>
          </cell>
          <cell r="B43">
            <v>9.0589583333333294</v>
          </cell>
          <cell r="C43" t="str">
            <v>Electric System</v>
          </cell>
          <cell r="D43">
            <v>2.4792222307695785E-2</v>
          </cell>
          <cell r="F43" t="str">
            <v>1 - 202</v>
          </cell>
          <cell r="G43">
            <v>6.1497685185185187</v>
          </cell>
          <cell r="H43" t="str">
            <v xml:space="preserve">PM </v>
          </cell>
          <cell r="I43">
            <v>1.683045915897028E-2</v>
          </cell>
          <cell r="P43" t="str">
            <v>1 - 112/212</v>
          </cell>
          <cell r="Q43">
            <v>9.6309374999999999</v>
          </cell>
          <cell r="R43" t="str">
            <v>Electric System</v>
          </cell>
          <cell r="S43">
            <v>2.6357593748161694E-2</v>
          </cell>
        </row>
        <row r="44">
          <cell r="A44" t="str">
            <v>2 - 121</v>
          </cell>
          <cell r="B44">
            <v>6.9990625</v>
          </cell>
          <cell r="C44" t="str">
            <v>Tire related job</v>
          </cell>
          <cell r="D44">
            <v>1.9154775533845276E-2</v>
          </cell>
          <cell r="F44" t="str">
            <v>2 - 231</v>
          </cell>
          <cell r="G44">
            <v>3.7278472222222221</v>
          </cell>
          <cell r="H44" t="str">
            <v>Dumpbody</v>
          </cell>
          <cell r="I44">
            <v>1.0202234480137202E-2</v>
          </cell>
          <cell r="P44" t="str">
            <v>2 - 118/218</v>
          </cell>
          <cell r="Q44">
            <v>7.9346643518518523</v>
          </cell>
          <cell r="R44" t="str">
            <v>Suspension</v>
          </cell>
          <cell r="S44">
            <v>2.1715296098031148E-2</v>
          </cell>
        </row>
        <row r="45">
          <cell r="A45" t="str">
            <v>3 - 118</v>
          </cell>
          <cell r="B45">
            <v>5.0524189814814813</v>
          </cell>
          <cell r="C45" t="str">
            <v>Suspension</v>
          </cell>
          <cell r="D45">
            <v>1.382727350887593E-2</v>
          </cell>
          <cell r="F45" t="str">
            <v>3 - 218</v>
          </cell>
          <cell r="G45">
            <v>2.8822453703703705</v>
          </cell>
          <cell r="H45" t="str">
            <v>Suspension</v>
          </cell>
          <cell r="I45">
            <v>7.8880225891552174E-3</v>
          </cell>
          <cell r="P45" t="str">
            <v>3 - 121</v>
          </cell>
          <cell r="Q45">
            <v>6.9990625</v>
          </cell>
          <cell r="R45" t="str">
            <v>Tire related job</v>
          </cell>
          <cell r="S45">
            <v>1.9154775533845276E-2</v>
          </cell>
        </row>
        <row r="46">
          <cell r="A46" t="str">
            <v>4 - 125</v>
          </cell>
          <cell r="B46">
            <v>4.1728009259259267</v>
          </cell>
          <cell r="C46" t="str">
            <v>Wheel Motor</v>
          </cell>
          <cell r="D46">
            <v>1.1419967328986253E-2</v>
          </cell>
          <cell r="F46" t="str">
            <v>4 - 229</v>
          </cell>
          <cell r="G46">
            <v>0.87162037037037043</v>
          </cell>
          <cell r="H46" t="str">
            <v>Frame</v>
          </cell>
          <cell r="I46">
            <v>2.3854184107045093E-3</v>
          </cell>
          <cell r="P46" t="str">
            <v>4 - 202</v>
          </cell>
          <cell r="Q46">
            <v>6.1497685185185187</v>
          </cell>
          <cell r="R46" t="str">
            <v xml:space="preserve">PM </v>
          </cell>
          <cell r="S46">
            <v>1.683045915897028E-2</v>
          </cell>
        </row>
        <row r="47">
          <cell r="A47" t="str">
            <v>5 - 108</v>
          </cell>
          <cell r="B47">
            <v>3.10931712962963</v>
          </cell>
          <cell r="C47" t="str">
            <v>Engine</v>
          </cell>
          <cell r="D47">
            <v>8.5094641863243323E-3</v>
          </cell>
          <cell r="F47" t="str">
            <v>5 - 225</v>
          </cell>
          <cell r="G47">
            <v>0.59827546296296297</v>
          </cell>
          <cell r="H47" t="str">
            <v>Wheel Motor</v>
          </cell>
          <cell r="I47">
            <v>1.6373381721427574E-3</v>
          </cell>
          <cell r="P47" t="str">
            <v>5 - 125/225</v>
          </cell>
          <cell r="Q47">
            <v>4.7710763888888899</v>
          </cell>
          <cell r="R47" t="str">
            <v>Wheel Motor</v>
          </cell>
          <cell r="S47">
            <v>1.3057305501129012E-2</v>
          </cell>
        </row>
        <row r="48">
          <cell r="A48" t="str">
            <v>6 - 117</v>
          </cell>
          <cell r="B48">
            <v>2.2904629629629629</v>
          </cell>
          <cell r="C48" t="str">
            <v>Steering System</v>
          </cell>
          <cell r="D48">
            <v>6.2684543714449925E-3</v>
          </cell>
          <cell r="F48" t="str">
            <v>6 - 212</v>
          </cell>
          <cell r="G48">
            <v>0.57197916666666671</v>
          </cell>
          <cell r="H48" t="str">
            <v>Electric System</v>
          </cell>
          <cell r="I48">
            <v>1.5653714404659019E-3</v>
          </cell>
          <cell r="P48" t="str">
            <v>6 - 131/231</v>
          </cell>
          <cell r="Q48">
            <v>4.5643981481481477</v>
          </cell>
          <cell r="R48" t="str">
            <v>Dumpbody</v>
          </cell>
          <cell r="S48">
            <v>1.2491676131607172E-2</v>
          </cell>
        </row>
        <row r="49">
          <cell r="A49" t="str">
            <v>7 - 104</v>
          </cell>
          <cell r="B49">
            <v>1.8657638888888892</v>
          </cell>
          <cell r="C49" t="str">
            <v>Lube System</v>
          </cell>
          <cell r="D49">
            <v>5.1061536442660585E-3</v>
          </cell>
          <cell r="F49" t="str">
            <v>7 - 208</v>
          </cell>
          <cell r="G49">
            <v>0.27847222222222223</v>
          </cell>
          <cell r="H49" t="str">
            <v>Engine</v>
          </cell>
          <cell r="I49">
            <v>7.6211248421881458E-4</v>
          </cell>
          <cell r="P49" t="str">
            <v>7 - 108/208</v>
          </cell>
          <cell r="Q49">
            <v>3.3877893518518523</v>
          </cell>
          <cell r="R49" t="str">
            <v>Engine</v>
          </cell>
          <cell r="S49">
            <v>9.2715766705431472E-3</v>
          </cell>
        </row>
        <row r="50">
          <cell r="A50" t="str">
            <v>8 - 7</v>
          </cell>
          <cell r="B50">
            <v>1.6512962962962963</v>
          </cell>
          <cell r="C50" t="str">
            <v>Down operation</v>
          </cell>
          <cell r="D50">
            <v>4.5192066645248011E-3</v>
          </cell>
          <cell r="P50" t="str">
            <v>8 - 117</v>
          </cell>
          <cell r="Q50">
            <v>2.2904629629629629</v>
          </cell>
          <cell r="R50" t="str">
            <v>Steering System</v>
          </cell>
          <cell r="S50">
            <v>6.2684543714449925E-3</v>
          </cell>
        </row>
        <row r="51">
          <cell r="A51" t="str">
            <v>9 - 128</v>
          </cell>
          <cell r="B51">
            <v>1.3542129629629631</v>
          </cell>
          <cell r="C51" t="str">
            <v>Cabin</v>
          </cell>
          <cell r="D51">
            <v>3.7061599793656768E-3</v>
          </cell>
          <cell r="P51" t="str">
            <v>9 - 104</v>
          </cell>
          <cell r="Q51">
            <v>1.8657638888888892</v>
          </cell>
          <cell r="R51" t="str">
            <v>Lube System</v>
          </cell>
          <cell r="S51">
            <v>5.1061536442660585E-3</v>
          </cell>
        </row>
        <row r="52">
          <cell r="A52" t="str">
            <v>10 - 111</v>
          </cell>
          <cell r="B52">
            <v>0.89902777777777787</v>
          </cell>
          <cell r="C52" t="str">
            <v>Cooling System</v>
          </cell>
          <cell r="D52">
            <v>2.4604259901986969E-3</v>
          </cell>
          <cell r="P52" t="str">
            <v>10 - 7</v>
          </cell>
          <cell r="Q52">
            <v>1.6512962962962963</v>
          </cell>
          <cell r="R52" t="str">
            <v>Down operation</v>
          </cell>
          <cell r="S52">
            <v>4.5192066645248011E-3</v>
          </cell>
        </row>
        <row r="56">
          <cell r="A56" t="str">
            <v>1 - 108</v>
          </cell>
          <cell r="B56">
            <v>11.941134259259259</v>
          </cell>
          <cell r="C56" t="str">
            <v>Engine</v>
          </cell>
          <cell r="D56">
            <v>2.6012830026141201E-2</v>
          </cell>
          <cell r="F56" t="str">
            <v>1 - 202</v>
          </cell>
          <cell r="G56">
            <v>5.9571874999999999</v>
          </cell>
          <cell r="H56" t="str">
            <v xml:space="preserve">PM </v>
          </cell>
          <cell r="I56">
            <v>1.2977268533028439E-2</v>
          </cell>
          <cell r="P56" t="str">
            <v>1 - 108/208</v>
          </cell>
          <cell r="Q56">
            <v>13.603761574074074</v>
          </cell>
          <cell r="R56" t="str">
            <v>Engine</v>
          </cell>
          <cell r="S56">
            <v>2.9634734009304376E-2</v>
          </cell>
        </row>
        <row r="57">
          <cell r="A57" t="str">
            <v>2 - 112</v>
          </cell>
          <cell r="B57">
            <v>11.119085648148149</v>
          </cell>
          <cell r="C57" t="str">
            <v>Electric System</v>
          </cell>
          <cell r="D57">
            <v>2.4222061215592273E-2</v>
          </cell>
          <cell r="F57" t="str">
            <v>2 - 229</v>
          </cell>
          <cell r="G57">
            <v>5.4200231481481476</v>
          </cell>
          <cell r="H57" t="str">
            <v>Frame</v>
          </cell>
          <cell r="I57">
            <v>1.1807097871058901E-2</v>
          </cell>
          <cell r="P57" t="str">
            <v>2 - 112/212</v>
          </cell>
          <cell r="Q57">
            <v>12.170162037037038</v>
          </cell>
          <cell r="R57" t="str">
            <v>Electric System</v>
          </cell>
          <cell r="S57">
            <v>2.6511749184509978E-2</v>
          </cell>
        </row>
        <row r="58">
          <cell r="A58" t="str">
            <v>3 - 121</v>
          </cell>
          <cell r="B58">
            <v>6.3882870370370384</v>
          </cell>
          <cell r="C58" t="str">
            <v>Tire related job</v>
          </cell>
          <cell r="D58">
            <v>1.3916385264975165E-2</v>
          </cell>
          <cell r="F58" t="str">
            <v>3 - 231</v>
          </cell>
          <cell r="G58">
            <v>5.1576967592592595</v>
          </cell>
          <cell r="H58" t="str">
            <v>Dumpbody</v>
          </cell>
          <cell r="I58">
            <v>1.1235640284419106E-2</v>
          </cell>
          <cell r="P58" t="str">
            <v>3 - 121</v>
          </cell>
          <cell r="Q58">
            <v>6.3882870370370384</v>
          </cell>
          <cell r="R58" t="str">
            <v>Tire related job</v>
          </cell>
          <cell r="S58">
            <v>1.3916385264975165E-2</v>
          </cell>
        </row>
        <row r="59">
          <cell r="A59" t="str">
            <v>4 - 105</v>
          </cell>
          <cell r="B59">
            <v>2.0017708333333335</v>
          </cell>
          <cell r="C59" t="str">
            <v>Hydraulic System</v>
          </cell>
          <cell r="D59">
            <v>4.3607016978651058E-3</v>
          </cell>
          <cell r="F59" t="str">
            <v>4 - 216</v>
          </cell>
          <cell r="G59">
            <v>1.726134259259259</v>
          </cell>
          <cell r="H59" t="str">
            <v>Brake System</v>
          </cell>
          <cell r="I59">
            <v>3.7602489104913242E-3</v>
          </cell>
          <cell r="P59" t="str">
            <v>4 - 129/229</v>
          </cell>
          <cell r="Q59">
            <v>5.9624768518518509</v>
          </cell>
          <cell r="R59" t="str">
            <v>Frame</v>
          </cell>
          <cell r="S59">
            <v>1.2988790973667943E-2</v>
          </cell>
        </row>
        <row r="60">
          <cell r="A60" t="str">
            <v>5 - 111</v>
          </cell>
          <cell r="B60">
            <v>1.8933101851851855</v>
          </cell>
          <cell r="C60" t="str">
            <v>Cooling System</v>
          </cell>
          <cell r="D60">
            <v>4.124428631710174E-3</v>
          </cell>
          <cell r="F60" t="str">
            <v>5 - 208</v>
          </cell>
          <cell r="G60">
            <v>1.662627314814815</v>
          </cell>
          <cell r="H60" t="str">
            <v>Engine</v>
          </cell>
          <cell r="I60">
            <v>3.6219039831631734E-3</v>
          </cell>
          <cell r="P60" t="str">
            <v>5 - 202</v>
          </cell>
          <cell r="Q60">
            <v>5.9571874999999999</v>
          </cell>
          <cell r="R60" t="str">
            <v xml:space="preserve">PM </v>
          </cell>
          <cell r="S60">
            <v>1.2977268533028439E-2</v>
          </cell>
        </row>
        <row r="61">
          <cell r="A61" t="str">
            <v>6 - 116</v>
          </cell>
          <cell r="B61">
            <v>1.6172106481481481</v>
          </cell>
          <cell r="C61" t="str">
            <v>Brake System</v>
          </cell>
          <cell r="D61">
            <v>3.5229673156152107E-3</v>
          </cell>
          <cell r="F61" t="str">
            <v>6 - 212</v>
          </cell>
          <cell r="G61">
            <v>1.051076388888889</v>
          </cell>
          <cell r="H61" t="str">
            <v>Electric System</v>
          </cell>
          <cell r="I61">
            <v>2.2896879689177051E-3</v>
          </cell>
          <cell r="P61" t="str">
            <v>6 - 131/231</v>
          </cell>
          <cell r="Q61">
            <v>5.340902777777778</v>
          </cell>
          <cell r="R61" t="str">
            <v>Dumpbody</v>
          </cell>
          <cell r="S61">
            <v>1.1634740312608884E-2</v>
          </cell>
        </row>
        <row r="62">
          <cell r="A62" t="str">
            <v>7 - 104</v>
          </cell>
          <cell r="B62">
            <v>1.3409490740740739</v>
          </cell>
          <cell r="C62" t="str">
            <v>Lube System</v>
          </cell>
          <cell r="D62">
            <v>2.9211530144678342E-3</v>
          </cell>
          <cell r="F62" t="str">
            <v>7 - 205</v>
          </cell>
          <cell r="G62">
            <v>0.9955208333333333</v>
          </cell>
          <cell r="H62" t="str">
            <v>Hydraulic System</v>
          </cell>
          <cell r="I62">
            <v>2.1686645223758551E-3</v>
          </cell>
          <cell r="P62" t="str">
            <v>7 - 116/216</v>
          </cell>
          <cell r="Q62">
            <v>3.3433449074074071</v>
          </cell>
          <cell r="R62" t="str">
            <v>Brake System</v>
          </cell>
          <cell r="S62">
            <v>7.2832162261065349E-3</v>
          </cell>
        </row>
        <row r="63">
          <cell r="A63" t="str">
            <v>8 - 128</v>
          </cell>
          <cell r="B63">
            <v>1.2320486111111111</v>
          </cell>
          <cell r="C63" t="str">
            <v>Cabin</v>
          </cell>
          <cell r="D63">
            <v>2.6839218460277797E-3</v>
          </cell>
          <cell r="F63" t="str">
            <v>8 - 217</v>
          </cell>
          <cell r="G63">
            <v>0.41618055555555555</v>
          </cell>
          <cell r="H63" t="str">
            <v>Steering System</v>
          </cell>
          <cell r="I63">
            <v>9.0661689390663042E-4</v>
          </cell>
          <cell r="P63" t="str">
            <v>8 - 105/205</v>
          </cell>
          <cell r="Q63">
            <v>2.9972916666666669</v>
          </cell>
          <cell r="R63" t="str">
            <v>Hydraulic System</v>
          </cell>
          <cell r="S63">
            <v>6.5293662202409617E-3</v>
          </cell>
        </row>
        <row r="64">
          <cell r="A64" t="str">
            <v>9 - 118</v>
          </cell>
          <cell r="B64">
            <v>0.95952546296296304</v>
          </cell>
          <cell r="C64" t="str">
            <v>Suspension</v>
          </cell>
          <cell r="D64">
            <v>2.0902514143039488E-3</v>
          </cell>
          <cell r="F64" t="str">
            <v>9 - 225</v>
          </cell>
          <cell r="G64">
            <v>0.13212962962962962</v>
          </cell>
          <cell r="H64" t="str">
            <v>Wheel Motor</v>
          </cell>
          <cell r="I64">
            <v>2.8783409702536549E-4</v>
          </cell>
          <cell r="P64" t="str">
            <v>9 - 111</v>
          </cell>
          <cell r="Q64">
            <v>1.8933101851851855</v>
          </cell>
          <cell r="R64" t="str">
            <v>Cooling System</v>
          </cell>
          <cell r="S64">
            <v>4.124428631710174E-3</v>
          </cell>
        </row>
        <row r="65">
          <cell r="A65" t="str">
            <v>10 - 34</v>
          </cell>
          <cell r="B65">
            <v>0.75885416666666672</v>
          </cell>
          <cell r="C65" t="str">
            <v>Mech.check</v>
          </cell>
          <cell r="D65">
            <v>1.6531046401075764E-3</v>
          </cell>
          <cell r="F65" t="str">
            <v>10 - 218</v>
          </cell>
          <cell r="G65">
            <v>0.12064814814814814</v>
          </cell>
          <cell r="H65" t="str">
            <v>Suspension</v>
          </cell>
          <cell r="I65">
            <v>2.6282258474004996E-4</v>
          </cell>
          <cell r="P65" t="str">
            <v>10 - 104</v>
          </cell>
          <cell r="Q65">
            <v>1.3409490740740739</v>
          </cell>
          <cell r="R65" t="str">
            <v>Lube System</v>
          </cell>
          <cell r="S65">
            <v>2.9211530144678342E-3</v>
          </cell>
        </row>
        <row r="69">
          <cell r="A69" t="str">
            <v>1 - 108</v>
          </cell>
          <cell r="B69">
            <v>17.848576388888887</v>
          </cell>
          <cell r="C69" t="str">
            <v>Engine</v>
          </cell>
          <cell r="D69">
            <v>0</v>
          </cell>
          <cell r="F69" t="str">
            <v>1 - 202</v>
          </cell>
          <cell r="G69">
            <v>7.9171759259259264</v>
          </cell>
          <cell r="H69" t="str">
            <v xml:space="preserve">PM </v>
          </cell>
          <cell r="I69">
            <v>0</v>
          </cell>
          <cell r="P69" t="str">
            <v>1 - 108/208</v>
          </cell>
          <cell r="Q69">
            <v>25.262974537037035</v>
          </cell>
          <cell r="R69" t="str">
            <v>Engine</v>
          </cell>
          <cell r="S69">
            <v>0</v>
          </cell>
        </row>
        <row r="70">
          <cell r="A70" t="str">
            <v>2 - 111</v>
          </cell>
          <cell r="B70">
            <v>6.6117592592592569</v>
          </cell>
          <cell r="C70" t="str">
            <v>Cooling System</v>
          </cell>
          <cell r="D70">
            <v>0</v>
          </cell>
          <cell r="F70" t="str">
            <v>2 - 208</v>
          </cell>
          <cell r="G70">
            <v>7.4143981481481473</v>
          </cell>
          <cell r="H70" t="str">
            <v>Engine</v>
          </cell>
          <cell r="I70">
            <v>0</v>
          </cell>
          <cell r="P70" t="str">
            <v>2 - 202</v>
          </cell>
          <cell r="Q70">
            <v>7.9171759259259264</v>
          </cell>
          <cell r="R70" t="str">
            <v xml:space="preserve">PM </v>
          </cell>
          <cell r="S70">
            <v>0</v>
          </cell>
        </row>
        <row r="71">
          <cell r="A71" t="str">
            <v>3 - 116</v>
          </cell>
          <cell r="B71">
            <v>3.5518634259259261</v>
          </cell>
          <cell r="C71" t="str">
            <v>Brake System</v>
          </cell>
          <cell r="D71">
            <v>0</v>
          </cell>
          <cell r="F71" t="str">
            <v>3 - 212</v>
          </cell>
          <cell r="G71">
            <v>4.821759259259259E-2</v>
          </cell>
          <cell r="H71" t="str">
            <v>Electric System</v>
          </cell>
          <cell r="I71">
            <v>0</v>
          </cell>
          <cell r="P71" t="str">
            <v>3 - 111</v>
          </cell>
          <cell r="Q71">
            <v>6.6117592592592569</v>
          </cell>
          <cell r="R71" t="str">
            <v>Cooling System</v>
          </cell>
          <cell r="S71">
            <v>0</v>
          </cell>
        </row>
        <row r="72">
          <cell r="A72" t="str">
            <v>4 - 121</v>
          </cell>
          <cell r="B72">
            <v>3.3473148148148151</v>
          </cell>
          <cell r="C72" t="str">
            <v>Tire related job</v>
          </cell>
          <cell r="D72">
            <v>0</v>
          </cell>
          <cell r="F72" t="str">
            <v>4 - 216</v>
          </cell>
          <cell r="G72">
            <v>1.1064814814814814E-2</v>
          </cell>
          <cell r="H72" t="str">
            <v>Brake System</v>
          </cell>
          <cell r="I72">
            <v>0</v>
          </cell>
          <cell r="P72" t="str">
            <v>4 - 116/216</v>
          </cell>
          <cell r="Q72">
            <v>3.562928240740741</v>
          </cell>
          <cell r="R72" t="str">
            <v>Brake System</v>
          </cell>
          <cell r="S72">
            <v>0</v>
          </cell>
        </row>
        <row r="73">
          <cell r="A73" t="str">
            <v>5 - 107</v>
          </cell>
          <cell r="B73">
            <v>2.9616550925925926</v>
          </cell>
          <cell r="C73" t="str">
            <v>Transmission</v>
          </cell>
          <cell r="D73">
            <v>0</v>
          </cell>
          <cell r="P73" t="str">
            <v>5 - 121</v>
          </cell>
          <cell r="Q73">
            <v>3.3473148148148151</v>
          </cell>
          <cell r="R73" t="str">
            <v>Tire related job</v>
          </cell>
          <cell r="S73">
            <v>0</v>
          </cell>
        </row>
        <row r="74">
          <cell r="A74" t="str">
            <v>6 - 131</v>
          </cell>
          <cell r="B74">
            <v>2.7186111111111111</v>
          </cell>
          <cell r="C74" t="str">
            <v>Dumpbody</v>
          </cell>
          <cell r="D74">
            <v>0</v>
          </cell>
          <cell r="P74" t="str">
            <v>6 - 107</v>
          </cell>
          <cell r="Q74">
            <v>2.9616550925925926</v>
          </cell>
          <cell r="R74" t="str">
            <v>Transmission</v>
          </cell>
          <cell r="S74">
            <v>0</v>
          </cell>
        </row>
        <row r="75">
          <cell r="A75" t="str">
            <v>7 - 24</v>
          </cell>
          <cell r="B75">
            <v>2.3651736111111115</v>
          </cell>
          <cell r="C75" t="str">
            <v>Final drive</v>
          </cell>
          <cell r="D75">
            <v>0</v>
          </cell>
          <cell r="P75" t="str">
            <v>7 - 131</v>
          </cell>
          <cell r="Q75">
            <v>2.7186111111111111</v>
          </cell>
          <cell r="R75" t="str">
            <v>Dumpbody</v>
          </cell>
          <cell r="S75">
            <v>0</v>
          </cell>
        </row>
        <row r="76">
          <cell r="A76" t="str">
            <v>8 - 117</v>
          </cell>
          <cell r="B76">
            <v>2.1984259259259256</v>
          </cell>
          <cell r="C76" t="str">
            <v>Steering System</v>
          </cell>
          <cell r="D76">
            <v>0</v>
          </cell>
          <cell r="P76" t="str">
            <v>8 - 24</v>
          </cell>
          <cell r="Q76">
            <v>2.3651736111111115</v>
          </cell>
          <cell r="R76" t="str">
            <v>Final drive</v>
          </cell>
          <cell r="S76">
            <v>0</v>
          </cell>
        </row>
        <row r="77">
          <cell r="A77" t="str">
            <v>9 - 118</v>
          </cell>
          <cell r="B77">
            <v>1.9629282407407407</v>
          </cell>
          <cell r="C77" t="str">
            <v>Suspension</v>
          </cell>
          <cell r="D77">
            <v>0</v>
          </cell>
          <cell r="P77" t="str">
            <v>9 - 117</v>
          </cell>
          <cell r="Q77">
            <v>2.1984259259259256</v>
          </cell>
          <cell r="R77" t="str">
            <v>Steering System</v>
          </cell>
          <cell r="S77">
            <v>0</v>
          </cell>
        </row>
        <row r="78">
          <cell r="A78" t="str">
            <v>10 - 119</v>
          </cell>
          <cell r="B78">
            <v>1.6367592592592592</v>
          </cell>
          <cell r="C78" t="str">
            <v>Hoist Cylinder</v>
          </cell>
          <cell r="D78">
            <v>0</v>
          </cell>
          <cell r="P78" t="str">
            <v>10 - 118</v>
          </cell>
          <cell r="Q78">
            <v>1.9629282407407407</v>
          </cell>
          <cell r="R78" t="str">
            <v>Suspension</v>
          </cell>
          <cell r="S7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554C-5345-440E-9EB2-8C0F07BB6A7A}">
  <dimension ref="B1:R73"/>
  <sheetViews>
    <sheetView tabSelected="1" zoomScale="70" zoomScaleNormal="70" workbookViewId="0">
      <selection activeCell="E21" sqref="E21"/>
    </sheetView>
  </sheetViews>
  <sheetFormatPr defaultRowHeight="12.75" x14ac:dyDescent="0.2"/>
  <cols>
    <col min="1" max="1" width="2" customWidth="1"/>
    <col min="3" max="3" width="34.42578125" bestFit="1" customWidth="1"/>
    <col min="4" max="4" width="47.42578125" bestFit="1" customWidth="1"/>
    <col min="7" max="7" width="11.28515625" customWidth="1"/>
    <col min="9" max="9" width="11.5703125" customWidth="1"/>
    <col min="10" max="10" width="10" bestFit="1" customWidth="1"/>
    <col min="17" max="17" width="12.5703125" bestFit="1" customWidth="1"/>
  </cols>
  <sheetData>
    <row r="1" spans="2:18" ht="53.1" customHeight="1" thickBot="1" x14ac:dyDescent="0.25">
      <c r="B1" s="108" t="s">
        <v>104</v>
      </c>
      <c r="C1" s="108"/>
      <c r="D1" s="85" t="s">
        <v>103</v>
      </c>
      <c r="E1" s="86" t="s">
        <v>0</v>
      </c>
      <c r="F1" s="87"/>
      <c r="G1" s="4" t="s">
        <v>93</v>
      </c>
      <c r="H1" s="5"/>
      <c r="I1" s="4" t="s">
        <v>2</v>
      </c>
      <c r="J1" s="6">
        <f>SUM(P3:P71)</f>
        <v>0</v>
      </c>
      <c r="K1" s="75" t="s">
        <v>3</v>
      </c>
      <c r="L1" s="88">
        <f>(COUNTA(O4:O32)/COUNTA(D4:D32))*100%</f>
        <v>0</v>
      </c>
      <c r="M1" s="75" t="s">
        <v>4</v>
      </c>
      <c r="N1" s="76">
        <f>(COUNTA(N45:N70)/COUNTA(D45:D70))*100%</f>
        <v>0</v>
      </c>
      <c r="O1" s="75" t="s">
        <v>5</v>
      </c>
      <c r="P1" s="76">
        <f>(COUNTA(N34:N43)/COUNTA(D34:D43))*100%</f>
        <v>0</v>
      </c>
      <c r="Q1" s="75" t="s">
        <v>6</v>
      </c>
      <c r="R1" s="89"/>
    </row>
    <row r="2" spans="2:18" ht="63.75" x14ac:dyDescent="0.2">
      <c r="B2" s="15" t="s">
        <v>7</v>
      </c>
      <c r="C2" s="15"/>
      <c r="D2" s="15"/>
      <c r="E2" s="15"/>
      <c r="F2" s="15"/>
      <c r="G2" s="72" t="s">
        <v>8</v>
      </c>
      <c r="H2" s="109"/>
      <c r="I2" s="110"/>
      <c r="J2" s="17"/>
      <c r="K2" s="17"/>
      <c r="L2" s="59" t="s">
        <v>94</v>
      </c>
      <c r="M2" s="90" t="s">
        <v>10</v>
      </c>
      <c r="N2" s="59" t="s">
        <v>11</v>
      </c>
      <c r="O2" s="90" t="s">
        <v>12</v>
      </c>
      <c r="P2" s="59" t="s">
        <v>13</v>
      </c>
      <c r="Q2" s="91" t="s">
        <v>14</v>
      </c>
      <c r="R2" s="91" t="s">
        <v>15</v>
      </c>
    </row>
    <row r="3" spans="2:18" x14ac:dyDescent="0.2">
      <c r="B3" s="21">
        <v>1</v>
      </c>
      <c r="C3" s="22" t="s">
        <v>16</v>
      </c>
      <c r="D3" s="23"/>
      <c r="E3" s="23"/>
      <c r="F3" s="23"/>
      <c r="G3" s="23"/>
      <c r="H3" s="23"/>
      <c r="I3" s="23"/>
      <c r="J3" s="23"/>
      <c r="K3" s="23"/>
      <c r="L3" s="24"/>
      <c r="M3" s="25"/>
      <c r="N3" s="25"/>
      <c r="O3" s="26"/>
      <c r="P3" s="27">
        <f>SUM(P4:P10)</f>
        <v>0</v>
      </c>
      <c r="Q3" s="28"/>
      <c r="R3" s="29"/>
    </row>
    <row r="4" spans="2:18" x14ac:dyDescent="0.2">
      <c r="B4" s="30"/>
      <c r="C4" s="31">
        <v>45827</v>
      </c>
      <c r="D4" s="102" t="s">
        <v>17</v>
      </c>
      <c r="E4" s="102"/>
      <c r="F4" s="102"/>
      <c r="L4" s="32"/>
      <c r="M4" s="32"/>
      <c r="N4" s="32"/>
      <c r="O4" s="32"/>
      <c r="P4" s="33">
        <f>N4*M4*L4</f>
        <v>0</v>
      </c>
      <c r="Q4" s="34" t="s">
        <v>18</v>
      </c>
      <c r="R4" s="35" t="b">
        <v>0</v>
      </c>
    </row>
    <row r="5" spans="2:18" x14ac:dyDescent="0.2">
      <c r="B5" s="30"/>
      <c r="C5" s="36"/>
      <c r="D5" s="102" t="s">
        <v>19</v>
      </c>
      <c r="E5" s="102"/>
      <c r="F5" s="102"/>
      <c r="L5" s="32">
        <v>1</v>
      </c>
      <c r="M5" s="32">
        <v>1</v>
      </c>
      <c r="N5" s="37"/>
      <c r="O5" s="32"/>
      <c r="P5" s="33">
        <f t="shared" ref="P5:P10" si="0">N5*M5*L5</f>
        <v>0</v>
      </c>
      <c r="Q5" s="38" t="s">
        <v>98</v>
      </c>
      <c r="R5" s="35" t="b">
        <v>0</v>
      </c>
    </row>
    <row r="6" spans="2:18" x14ac:dyDescent="0.2">
      <c r="B6" s="30"/>
      <c r="C6" s="36"/>
      <c r="D6" s="102" t="s">
        <v>21</v>
      </c>
      <c r="E6" s="102"/>
      <c r="F6" s="102"/>
      <c r="L6" s="32">
        <v>1</v>
      </c>
      <c r="M6" s="32">
        <v>2</v>
      </c>
      <c r="N6" s="32"/>
      <c r="O6" s="32"/>
      <c r="P6" s="33">
        <f t="shared" si="0"/>
        <v>0</v>
      </c>
      <c r="Q6" s="38" t="s">
        <v>98</v>
      </c>
      <c r="R6" s="35" t="b">
        <v>0</v>
      </c>
    </row>
    <row r="7" spans="2:18" x14ac:dyDescent="0.2">
      <c r="B7" s="30"/>
      <c r="C7" s="36"/>
      <c r="D7" s="102" t="s">
        <v>22</v>
      </c>
      <c r="E7" s="102"/>
      <c r="F7" s="102"/>
      <c r="L7" s="32">
        <v>1</v>
      </c>
      <c r="M7" s="32">
        <v>2</v>
      </c>
      <c r="N7" s="32"/>
      <c r="O7" s="32"/>
      <c r="P7" s="33">
        <f t="shared" si="0"/>
        <v>0</v>
      </c>
      <c r="Q7" s="38" t="s">
        <v>98</v>
      </c>
      <c r="R7" s="35" t="b">
        <v>0</v>
      </c>
    </row>
    <row r="8" spans="2:18" x14ac:dyDescent="0.2">
      <c r="B8" s="30"/>
      <c r="C8" s="31">
        <v>45828</v>
      </c>
      <c r="D8" s="102" t="s">
        <v>23</v>
      </c>
      <c r="E8" s="102"/>
      <c r="F8" s="102"/>
      <c r="L8" s="32"/>
      <c r="M8" s="32"/>
      <c r="N8" s="32"/>
      <c r="O8" s="32"/>
      <c r="P8" s="33">
        <f t="shared" si="0"/>
        <v>0</v>
      </c>
      <c r="Q8" s="34" t="s">
        <v>24</v>
      </c>
      <c r="R8" s="35" t="b">
        <v>0</v>
      </c>
    </row>
    <row r="9" spans="2:18" x14ac:dyDescent="0.2">
      <c r="B9" s="30"/>
      <c r="C9" s="36"/>
      <c r="D9" t="s">
        <v>25</v>
      </c>
      <c r="L9" s="32"/>
      <c r="M9" s="32"/>
      <c r="N9" s="37"/>
      <c r="O9" s="32"/>
      <c r="P9" s="33">
        <f t="shared" si="0"/>
        <v>0</v>
      </c>
      <c r="Q9" s="38" t="s">
        <v>98</v>
      </c>
      <c r="R9" s="35" t="b">
        <v>0</v>
      </c>
    </row>
    <row r="10" spans="2:18" x14ac:dyDescent="0.2">
      <c r="B10" s="30"/>
      <c r="C10" s="36"/>
      <c r="D10" t="s">
        <v>26</v>
      </c>
      <c r="L10" s="32">
        <v>1</v>
      </c>
      <c r="M10" s="32">
        <v>6</v>
      </c>
      <c r="N10" s="32"/>
      <c r="O10" s="32"/>
      <c r="P10" s="33">
        <f t="shared" si="0"/>
        <v>0</v>
      </c>
      <c r="Q10" s="38" t="s">
        <v>99</v>
      </c>
      <c r="R10" s="35" t="b">
        <v>0</v>
      </c>
    </row>
    <row r="11" spans="2:18" x14ac:dyDescent="0.2">
      <c r="B11" s="21">
        <v>2</v>
      </c>
      <c r="C11" s="22" t="s">
        <v>27</v>
      </c>
      <c r="D11" s="23"/>
      <c r="E11" s="23"/>
      <c r="F11" s="23"/>
      <c r="G11" s="23"/>
      <c r="H11" s="23"/>
      <c r="I11" s="23"/>
      <c r="J11" s="23"/>
      <c r="K11" s="23"/>
      <c r="L11" s="39"/>
      <c r="M11" s="26"/>
      <c r="N11" s="26"/>
      <c r="O11" s="26"/>
      <c r="P11" s="40">
        <f>SUM(P12:P26)</f>
        <v>0</v>
      </c>
      <c r="Q11" s="41"/>
      <c r="R11" s="42"/>
    </row>
    <row r="12" spans="2:18" x14ac:dyDescent="0.2">
      <c r="B12" s="30"/>
      <c r="C12" s="43"/>
      <c r="D12" t="s">
        <v>28</v>
      </c>
      <c r="L12" s="32">
        <v>1</v>
      </c>
      <c r="M12" s="32">
        <v>1</v>
      </c>
      <c r="N12" s="32"/>
      <c r="O12" s="32"/>
      <c r="P12" s="33">
        <v>0</v>
      </c>
      <c r="Q12" s="38" t="s">
        <v>98</v>
      </c>
      <c r="R12" s="35" t="b">
        <v>0</v>
      </c>
    </row>
    <row r="13" spans="2:18" x14ac:dyDescent="0.2">
      <c r="B13" s="30"/>
      <c r="C13" s="36"/>
      <c r="D13" t="s">
        <v>29</v>
      </c>
      <c r="L13" s="32">
        <v>2</v>
      </c>
      <c r="M13" s="32">
        <v>10</v>
      </c>
      <c r="N13" s="32"/>
      <c r="O13" s="32"/>
      <c r="P13" s="33">
        <v>0</v>
      </c>
      <c r="Q13" s="38" t="s">
        <v>100</v>
      </c>
      <c r="R13" s="35" t="b">
        <v>0</v>
      </c>
    </row>
    <row r="14" spans="2:18" x14ac:dyDescent="0.2">
      <c r="B14" s="30"/>
      <c r="C14" s="36"/>
      <c r="D14" t="s">
        <v>30</v>
      </c>
      <c r="L14" s="32"/>
      <c r="M14" s="32"/>
      <c r="N14" s="32"/>
      <c r="O14" s="32"/>
      <c r="P14" s="33">
        <v>0</v>
      </c>
      <c r="Q14" s="38" t="s">
        <v>20</v>
      </c>
      <c r="R14" s="35" t="b">
        <v>0</v>
      </c>
    </row>
    <row r="15" spans="2:18" x14ac:dyDescent="0.2">
      <c r="B15" s="30"/>
      <c r="C15" s="36"/>
      <c r="D15" s="44" t="s">
        <v>31</v>
      </c>
      <c r="E15" s="44"/>
      <c r="G15">
        <v>1</v>
      </c>
      <c r="H15" t="s">
        <v>32</v>
      </c>
      <c r="L15" s="32">
        <v>2</v>
      </c>
      <c r="M15" s="32">
        <v>6</v>
      </c>
      <c r="N15" s="32"/>
      <c r="O15" s="32"/>
      <c r="P15" s="33">
        <v>0</v>
      </c>
      <c r="Q15" s="38" t="s">
        <v>101</v>
      </c>
      <c r="R15" s="35" t="b">
        <v>0</v>
      </c>
    </row>
    <row r="16" spans="2:18" x14ac:dyDescent="0.2">
      <c r="B16" s="30"/>
      <c r="C16" s="36"/>
      <c r="D16" s="44" t="s">
        <v>33</v>
      </c>
      <c r="E16" s="44"/>
      <c r="G16">
        <v>2</v>
      </c>
      <c r="H16" t="s">
        <v>32</v>
      </c>
      <c r="L16" s="32">
        <v>2</v>
      </c>
      <c r="M16" s="32">
        <v>2</v>
      </c>
      <c r="N16" s="32"/>
      <c r="O16" s="32"/>
      <c r="P16" s="33">
        <v>0</v>
      </c>
      <c r="Q16" s="38" t="s">
        <v>101</v>
      </c>
      <c r="R16" s="35" t="b">
        <v>0</v>
      </c>
    </row>
    <row r="17" spans="2:18" x14ac:dyDescent="0.2">
      <c r="B17" s="30"/>
      <c r="C17" s="36"/>
      <c r="D17" s="44" t="s">
        <v>34</v>
      </c>
      <c r="E17" s="44"/>
      <c r="G17">
        <v>1</v>
      </c>
      <c r="H17" t="s">
        <v>32</v>
      </c>
      <c r="L17" s="32">
        <v>2</v>
      </c>
      <c r="M17" s="32">
        <v>8</v>
      </c>
      <c r="N17" s="32"/>
      <c r="O17" s="32"/>
      <c r="P17" s="33">
        <v>0</v>
      </c>
      <c r="Q17" s="38" t="s">
        <v>101</v>
      </c>
      <c r="R17" s="35" t="b">
        <v>0</v>
      </c>
    </row>
    <row r="18" spans="2:18" x14ac:dyDescent="0.2">
      <c r="B18" s="30"/>
      <c r="C18" s="36"/>
      <c r="D18" s="45" t="s">
        <v>35</v>
      </c>
      <c r="E18" s="45"/>
      <c r="G18">
        <v>6</v>
      </c>
      <c r="H18" t="s">
        <v>32</v>
      </c>
      <c r="L18" s="32">
        <v>2</v>
      </c>
      <c r="M18" s="32">
        <v>5</v>
      </c>
      <c r="N18" s="32"/>
      <c r="O18" s="32"/>
      <c r="P18" s="33">
        <v>0</v>
      </c>
      <c r="Q18" s="38" t="s">
        <v>98</v>
      </c>
      <c r="R18" s="35" t="b">
        <v>0</v>
      </c>
    </row>
    <row r="19" spans="2:18" x14ac:dyDescent="0.2">
      <c r="B19" s="30"/>
      <c r="C19" s="36"/>
      <c r="D19" s="45" t="s">
        <v>36</v>
      </c>
      <c r="E19" s="45"/>
      <c r="G19" s="46">
        <v>1</v>
      </c>
      <c r="H19" s="46" t="s">
        <v>32</v>
      </c>
      <c r="L19" s="32">
        <v>2</v>
      </c>
      <c r="M19" s="32">
        <v>8</v>
      </c>
      <c r="N19" s="32"/>
      <c r="O19" s="32"/>
      <c r="P19" s="33">
        <v>0</v>
      </c>
      <c r="Q19" s="38" t="s">
        <v>20</v>
      </c>
      <c r="R19" s="35" t="b">
        <v>0</v>
      </c>
    </row>
    <row r="20" spans="2:18" x14ac:dyDescent="0.2">
      <c r="B20" s="30"/>
      <c r="C20" s="36"/>
      <c r="D20" s="45" t="s">
        <v>37</v>
      </c>
      <c r="E20" s="45"/>
      <c r="G20" s="46">
        <v>1</v>
      </c>
      <c r="H20" s="46" t="s">
        <v>32</v>
      </c>
      <c r="L20" s="32">
        <v>2</v>
      </c>
      <c r="M20" s="32">
        <v>2</v>
      </c>
      <c r="N20" s="32"/>
      <c r="O20" s="32"/>
      <c r="P20" s="33">
        <v>0</v>
      </c>
      <c r="Q20" s="38" t="s">
        <v>98</v>
      </c>
      <c r="R20" s="35" t="b">
        <v>0</v>
      </c>
    </row>
    <row r="21" spans="2:18" x14ac:dyDescent="0.2">
      <c r="B21" s="30"/>
      <c r="C21" s="36"/>
      <c r="D21" s="45" t="s">
        <v>38</v>
      </c>
      <c r="E21" s="45"/>
      <c r="G21" s="46">
        <v>1</v>
      </c>
      <c r="H21" s="46" t="s">
        <v>32</v>
      </c>
      <c r="L21" s="32">
        <v>2</v>
      </c>
      <c r="M21" s="32">
        <v>2</v>
      </c>
      <c r="N21" s="32"/>
      <c r="O21" s="32"/>
      <c r="P21" s="33">
        <v>0</v>
      </c>
      <c r="Q21" s="38" t="s">
        <v>98</v>
      </c>
      <c r="R21" s="35" t="b">
        <v>0</v>
      </c>
    </row>
    <row r="22" spans="2:18" x14ac:dyDescent="0.2">
      <c r="B22" s="30"/>
      <c r="C22" s="36"/>
      <c r="D22" s="45" t="s">
        <v>39</v>
      </c>
      <c r="E22" s="45"/>
      <c r="G22" s="46">
        <v>1</v>
      </c>
      <c r="H22" s="46" t="s">
        <v>32</v>
      </c>
      <c r="L22" s="32">
        <v>2</v>
      </c>
      <c r="M22" s="32">
        <v>2</v>
      </c>
      <c r="N22" s="32"/>
      <c r="O22" s="32"/>
      <c r="P22" s="33">
        <v>0</v>
      </c>
      <c r="Q22" s="38" t="s">
        <v>98</v>
      </c>
      <c r="R22" s="35" t="b">
        <v>0</v>
      </c>
    </row>
    <row r="23" spans="2:18" x14ac:dyDescent="0.2">
      <c r="B23" s="30"/>
      <c r="C23" s="36"/>
      <c r="D23" s="45" t="s">
        <v>40</v>
      </c>
      <c r="E23" s="45"/>
      <c r="G23" s="46">
        <v>1</v>
      </c>
      <c r="H23" s="46" t="s">
        <v>32</v>
      </c>
      <c r="L23" s="32">
        <v>2</v>
      </c>
      <c r="M23" s="32">
        <v>2</v>
      </c>
      <c r="N23" s="32"/>
      <c r="O23" s="32"/>
      <c r="P23" s="33">
        <v>0</v>
      </c>
      <c r="Q23" s="38" t="s">
        <v>20</v>
      </c>
      <c r="R23" s="35" t="b">
        <v>0</v>
      </c>
    </row>
    <row r="24" spans="2:18" x14ac:dyDescent="0.2">
      <c r="B24" s="30"/>
      <c r="C24" s="36"/>
      <c r="D24" s="44" t="s">
        <v>41</v>
      </c>
      <c r="E24" s="44"/>
      <c r="G24" s="46">
        <v>6</v>
      </c>
      <c r="H24" s="46" t="s">
        <v>32</v>
      </c>
      <c r="L24" s="32">
        <v>2</v>
      </c>
      <c r="M24" s="32">
        <v>2</v>
      </c>
      <c r="N24" s="32"/>
      <c r="O24" s="32"/>
      <c r="P24" s="33">
        <v>0</v>
      </c>
      <c r="Q24" s="38" t="s">
        <v>98</v>
      </c>
      <c r="R24" s="35" t="b">
        <v>0</v>
      </c>
    </row>
    <row r="25" spans="2:18" x14ac:dyDescent="0.2">
      <c r="B25" s="30"/>
      <c r="C25" s="36"/>
      <c r="D25" t="s">
        <v>42</v>
      </c>
      <c r="L25" s="32"/>
      <c r="M25" s="32"/>
      <c r="N25" s="32"/>
      <c r="O25" s="32"/>
      <c r="P25" s="33">
        <v>0</v>
      </c>
      <c r="Q25" s="38" t="s">
        <v>98</v>
      </c>
      <c r="R25" s="35" t="b">
        <v>0</v>
      </c>
    </row>
    <row r="26" spans="2:18" x14ac:dyDescent="0.2">
      <c r="B26" s="30"/>
      <c r="C26" s="36"/>
      <c r="D26" t="s">
        <v>43</v>
      </c>
      <c r="L26" s="32"/>
      <c r="M26" s="32"/>
      <c r="N26" s="32"/>
      <c r="O26" s="32"/>
      <c r="P26" s="33">
        <f t="shared" ref="P26" si="1">M26*L26</f>
        <v>0</v>
      </c>
      <c r="Q26" s="38"/>
      <c r="R26" s="35" t="b">
        <v>0</v>
      </c>
    </row>
    <row r="27" spans="2:18" x14ac:dyDescent="0.2">
      <c r="B27" s="21">
        <v>3</v>
      </c>
      <c r="C27" s="22" t="s">
        <v>44</v>
      </c>
      <c r="D27" s="23"/>
      <c r="E27" s="23"/>
      <c r="F27" s="23"/>
      <c r="G27" s="23"/>
      <c r="H27" s="23"/>
      <c r="I27" s="23"/>
      <c r="J27" s="23"/>
      <c r="K27" s="23"/>
      <c r="L27" s="39"/>
      <c r="M27" s="26"/>
      <c r="N27" s="26"/>
      <c r="O27" s="26"/>
      <c r="P27" s="48">
        <f>SUM(P28:P32)</f>
        <v>0</v>
      </c>
      <c r="Q27" s="41"/>
      <c r="R27" s="49"/>
    </row>
    <row r="28" spans="2:18" x14ac:dyDescent="0.2">
      <c r="B28" s="30"/>
      <c r="C28" s="36"/>
      <c r="D28" t="s">
        <v>45</v>
      </c>
      <c r="L28" s="32">
        <v>2</v>
      </c>
      <c r="M28" s="32">
        <v>4</v>
      </c>
      <c r="N28" s="32"/>
      <c r="O28" s="32"/>
      <c r="P28" s="33">
        <v>0</v>
      </c>
      <c r="Q28" s="38" t="s">
        <v>98</v>
      </c>
      <c r="R28" s="35" t="b">
        <v>0</v>
      </c>
    </row>
    <row r="29" spans="2:18" x14ac:dyDescent="0.2">
      <c r="B29" s="30"/>
      <c r="C29" s="36"/>
      <c r="D29" s="46" t="s">
        <v>46</v>
      </c>
      <c r="L29" s="32">
        <v>2</v>
      </c>
      <c r="M29" s="32">
        <v>4</v>
      </c>
      <c r="N29" s="32"/>
      <c r="O29" s="32"/>
      <c r="P29" s="33">
        <v>0</v>
      </c>
      <c r="Q29" s="38" t="s">
        <v>101</v>
      </c>
      <c r="R29" s="35" t="b">
        <v>0</v>
      </c>
    </row>
    <row r="30" spans="2:18" x14ac:dyDescent="0.2">
      <c r="B30" s="30"/>
      <c r="C30" s="36"/>
      <c r="D30" t="s">
        <v>47</v>
      </c>
      <c r="L30" s="32">
        <v>1</v>
      </c>
      <c r="M30" s="32">
        <v>2</v>
      </c>
      <c r="N30" s="32"/>
      <c r="O30" s="32"/>
      <c r="P30" s="33">
        <v>0</v>
      </c>
      <c r="Q30" s="38" t="s">
        <v>98</v>
      </c>
      <c r="R30" s="35" t="b">
        <v>0</v>
      </c>
    </row>
    <row r="31" spans="2:18" x14ac:dyDescent="0.2">
      <c r="B31" s="30"/>
      <c r="C31" s="36"/>
      <c r="D31" t="s">
        <v>48</v>
      </c>
      <c r="L31" s="32">
        <v>2</v>
      </c>
      <c r="M31" s="32">
        <v>2</v>
      </c>
      <c r="N31" s="32"/>
      <c r="O31" s="32"/>
      <c r="P31" s="33">
        <v>0</v>
      </c>
      <c r="Q31" s="38" t="s">
        <v>20</v>
      </c>
      <c r="R31" s="35" t="b">
        <v>0</v>
      </c>
    </row>
    <row r="32" spans="2:18" x14ac:dyDescent="0.2">
      <c r="B32" s="30"/>
      <c r="C32" s="36"/>
      <c r="D32" t="s">
        <v>49</v>
      </c>
      <c r="L32" s="32"/>
      <c r="M32" s="32"/>
      <c r="N32" s="32"/>
      <c r="O32" s="32"/>
      <c r="P32" s="33">
        <v>0</v>
      </c>
      <c r="Q32" s="34" t="s">
        <v>18</v>
      </c>
      <c r="R32" s="35" t="b">
        <v>0</v>
      </c>
    </row>
    <row r="33" spans="2:18" x14ac:dyDescent="0.2">
      <c r="B33" s="21">
        <v>4</v>
      </c>
      <c r="C33" s="22" t="s">
        <v>50</v>
      </c>
      <c r="D33" s="23"/>
      <c r="E33" s="23"/>
      <c r="F33" s="23"/>
      <c r="G33" s="23"/>
      <c r="H33" s="23"/>
      <c r="I33" s="23"/>
      <c r="J33" s="23"/>
      <c r="K33" s="23"/>
      <c r="L33" s="39"/>
      <c r="M33" s="26"/>
      <c r="N33" s="26"/>
      <c r="O33" s="22"/>
      <c r="P33" s="22">
        <f>SUM(P34:P38)</f>
        <v>0</v>
      </c>
      <c r="Q33" s="41"/>
      <c r="R33" s="49"/>
    </row>
    <row r="34" spans="2:18" x14ac:dyDescent="0.2">
      <c r="B34" s="30"/>
      <c r="C34" s="36"/>
      <c r="D34" t="s">
        <v>51</v>
      </c>
      <c r="L34" s="32"/>
      <c r="M34" s="32"/>
      <c r="N34" s="32"/>
      <c r="O34" s="32"/>
      <c r="P34" s="33">
        <f>N34*M34*L34</f>
        <v>0</v>
      </c>
      <c r="Q34" s="34" t="s">
        <v>52</v>
      </c>
      <c r="R34" s="35" t="b">
        <v>0</v>
      </c>
    </row>
    <row r="35" spans="2:18" x14ac:dyDescent="0.2">
      <c r="B35" s="30"/>
      <c r="C35" s="36"/>
      <c r="D35" t="s">
        <v>53</v>
      </c>
      <c r="L35" s="32"/>
      <c r="M35" s="32"/>
      <c r="N35" s="32"/>
      <c r="O35" s="32"/>
      <c r="P35" s="33">
        <f>N35*M35*L35</f>
        <v>0</v>
      </c>
      <c r="Q35" s="34" t="s">
        <v>52</v>
      </c>
      <c r="R35" s="35" t="b">
        <v>0</v>
      </c>
    </row>
    <row r="36" spans="2:18" x14ac:dyDescent="0.2">
      <c r="B36" s="30"/>
      <c r="C36" s="36"/>
      <c r="D36" t="s">
        <v>54</v>
      </c>
      <c r="L36" s="32"/>
      <c r="M36" s="32"/>
      <c r="N36" s="32"/>
      <c r="O36" s="32"/>
      <c r="P36" s="33">
        <f>N36*M36*L36</f>
        <v>0</v>
      </c>
      <c r="Q36" s="34" t="s">
        <v>55</v>
      </c>
      <c r="R36" s="35" t="b">
        <v>0</v>
      </c>
    </row>
    <row r="37" spans="2:18" x14ac:dyDescent="0.2">
      <c r="B37" s="30"/>
      <c r="C37" s="36"/>
      <c r="D37" t="s">
        <v>56</v>
      </c>
      <c r="L37" s="32"/>
      <c r="M37" s="32"/>
      <c r="N37" s="32"/>
      <c r="O37" s="32"/>
      <c r="P37" s="33">
        <f>N37*M37*L37</f>
        <v>0</v>
      </c>
      <c r="Q37" s="34" t="s">
        <v>18</v>
      </c>
      <c r="R37" s="35" t="b">
        <v>0</v>
      </c>
    </row>
    <row r="38" spans="2:18" x14ac:dyDescent="0.2">
      <c r="B38" s="30"/>
      <c r="C38" s="36"/>
      <c r="D38" t="s">
        <v>57</v>
      </c>
      <c r="L38" s="32"/>
      <c r="M38" s="32"/>
      <c r="N38" s="32"/>
      <c r="O38" s="32"/>
      <c r="P38" s="33">
        <f>N38*M38*L38</f>
        <v>0</v>
      </c>
      <c r="Q38" s="34" t="s">
        <v>58</v>
      </c>
      <c r="R38" s="35" t="b">
        <v>0</v>
      </c>
    </row>
    <row r="39" spans="2:18" x14ac:dyDescent="0.2">
      <c r="B39" s="21">
        <v>5</v>
      </c>
      <c r="C39" s="22" t="s">
        <v>59</v>
      </c>
      <c r="D39" s="23"/>
      <c r="E39" s="23"/>
      <c r="F39" s="23"/>
      <c r="G39" s="23"/>
      <c r="H39" s="23"/>
      <c r="I39" s="23"/>
      <c r="J39" s="23"/>
      <c r="K39" s="23"/>
      <c r="L39" s="39"/>
      <c r="M39" s="26"/>
      <c r="N39" s="26"/>
      <c r="O39" s="22"/>
      <c r="P39" s="22">
        <f>SUM(P40:P43)</f>
        <v>0</v>
      </c>
      <c r="Q39" s="41"/>
      <c r="R39" s="49"/>
    </row>
    <row r="40" spans="2:18" x14ac:dyDescent="0.2">
      <c r="B40" s="30"/>
      <c r="C40" s="36"/>
      <c r="D40" t="s">
        <v>60</v>
      </c>
      <c r="L40" s="32"/>
      <c r="M40" s="32"/>
      <c r="N40" s="32"/>
      <c r="O40" s="32"/>
      <c r="P40" s="33">
        <f>N40*M40*L40</f>
        <v>0</v>
      </c>
      <c r="Q40" s="50" t="s">
        <v>18</v>
      </c>
      <c r="R40" s="35" t="b">
        <v>0</v>
      </c>
    </row>
    <row r="41" spans="2:18" x14ac:dyDescent="0.2">
      <c r="B41" s="30"/>
      <c r="C41" s="36"/>
      <c r="D41" t="s">
        <v>61</v>
      </c>
      <c r="L41" s="32"/>
      <c r="M41" s="32"/>
      <c r="N41" s="32"/>
      <c r="O41" s="32"/>
      <c r="P41" s="33">
        <f>N41*M41*L41</f>
        <v>0</v>
      </c>
      <c r="Q41" s="50" t="s">
        <v>18</v>
      </c>
      <c r="R41" s="35" t="b">
        <v>0</v>
      </c>
    </row>
    <row r="42" spans="2:18" x14ac:dyDescent="0.2">
      <c r="B42" s="30"/>
      <c r="C42" s="36"/>
      <c r="D42" t="s">
        <v>62</v>
      </c>
      <c r="L42" s="32"/>
      <c r="M42" s="32"/>
      <c r="N42" s="32"/>
      <c r="O42" s="32"/>
      <c r="P42" s="33">
        <f>N42*M42*L42</f>
        <v>0</v>
      </c>
      <c r="Q42" s="50" t="s">
        <v>18</v>
      </c>
      <c r="R42" s="35" t="b">
        <v>0</v>
      </c>
    </row>
    <row r="43" spans="2:18" x14ac:dyDescent="0.2">
      <c r="B43" s="30"/>
      <c r="C43" s="36"/>
      <c r="D43" t="s">
        <v>63</v>
      </c>
      <c r="L43" s="32">
        <v>0</v>
      </c>
      <c r="M43" s="32"/>
      <c r="N43" s="32"/>
      <c r="O43" s="32"/>
      <c r="P43" s="33">
        <f>N43*M43*L43</f>
        <v>0</v>
      </c>
      <c r="Q43" s="50" t="s">
        <v>18</v>
      </c>
      <c r="R43" s="35" t="b">
        <v>0</v>
      </c>
    </row>
    <row r="44" spans="2:18" x14ac:dyDescent="0.2">
      <c r="B44" s="21">
        <v>6</v>
      </c>
      <c r="C44" s="22" t="s">
        <v>64</v>
      </c>
      <c r="D44" s="23"/>
      <c r="E44" s="23"/>
      <c r="F44" s="23"/>
      <c r="G44" s="23"/>
      <c r="H44" s="23"/>
      <c r="I44" s="23"/>
      <c r="J44" s="23"/>
      <c r="K44" s="23"/>
      <c r="L44" s="39"/>
      <c r="M44" s="26"/>
      <c r="N44" s="26"/>
      <c r="O44" s="26"/>
      <c r="P44" s="48">
        <f>SUM(P45:P56)</f>
        <v>0</v>
      </c>
      <c r="Q44" s="22"/>
      <c r="R44" s="49"/>
    </row>
    <row r="45" spans="2:18" x14ac:dyDescent="0.2">
      <c r="B45" s="30"/>
      <c r="C45" s="36"/>
      <c r="D45" t="s">
        <v>65</v>
      </c>
      <c r="L45" s="32">
        <v>1</v>
      </c>
      <c r="M45" s="32">
        <v>5</v>
      </c>
      <c r="N45" s="32"/>
      <c r="O45" s="32"/>
      <c r="P45" s="33">
        <v>0</v>
      </c>
      <c r="Q45" s="38" t="s">
        <v>20</v>
      </c>
      <c r="R45" s="35" t="b">
        <v>0</v>
      </c>
    </row>
    <row r="46" spans="2:18" x14ac:dyDescent="0.2">
      <c r="B46" s="30"/>
      <c r="C46" s="36"/>
      <c r="D46" t="s">
        <v>66</v>
      </c>
      <c r="L46" s="32">
        <v>2</v>
      </c>
      <c r="M46" s="32">
        <v>2</v>
      </c>
      <c r="N46" s="32"/>
      <c r="O46" s="32"/>
      <c r="P46" s="33">
        <v>0</v>
      </c>
      <c r="Q46" s="38" t="s">
        <v>20</v>
      </c>
      <c r="R46" s="35" t="b">
        <v>0</v>
      </c>
    </row>
    <row r="47" spans="2:18" x14ac:dyDescent="0.2">
      <c r="B47" s="30"/>
      <c r="C47" s="36"/>
      <c r="D47" t="s">
        <v>67</v>
      </c>
      <c r="L47" s="32"/>
      <c r="M47" s="32"/>
      <c r="N47" s="32"/>
      <c r="O47" s="32"/>
      <c r="P47" s="33">
        <v>0</v>
      </c>
      <c r="Q47" s="38" t="s">
        <v>20</v>
      </c>
      <c r="R47" s="35"/>
    </row>
    <row r="48" spans="2:18" x14ac:dyDescent="0.2">
      <c r="B48" s="30"/>
      <c r="C48" s="36"/>
      <c r="D48" t="s">
        <v>68</v>
      </c>
      <c r="L48" s="32"/>
      <c r="M48" s="32"/>
      <c r="N48" s="32"/>
      <c r="O48" s="32"/>
      <c r="P48" s="33">
        <v>0</v>
      </c>
      <c r="Q48" s="38" t="s">
        <v>20</v>
      </c>
      <c r="R48" s="35" t="b">
        <v>0</v>
      </c>
    </row>
    <row r="49" spans="2:18" x14ac:dyDescent="0.2">
      <c r="B49" s="30"/>
      <c r="C49" s="36"/>
      <c r="D49" s="44" t="s">
        <v>31</v>
      </c>
      <c r="E49" s="44"/>
      <c r="G49">
        <v>1</v>
      </c>
      <c r="H49" t="s">
        <v>32</v>
      </c>
      <c r="L49" s="32">
        <v>2</v>
      </c>
      <c r="M49" s="32">
        <v>6</v>
      </c>
      <c r="N49" s="32"/>
      <c r="O49" s="32"/>
      <c r="P49" s="33">
        <v>0</v>
      </c>
      <c r="Q49" s="38" t="s">
        <v>20</v>
      </c>
      <c r="R49" s="35" t="b">
        <v>0</v>
      </c>
    </row>
    <row r="50" spans="2:18" x14ac:dyDescent="0.2">
      <c r="B50" s="30"/>
      <c r="C50" s="36"/>
      <c r="D50" s="44" t="s">
        <v>33</v>
      </c>
      <c r="E50" s="44"/>
      <c r="G50">
        <v>1</v>
      </c>
      <c r="H50" t="s">
        <v>32</v>
      </c>
      <c r="L50" s="32">
        <v>2</v>
      </c>
      <c r="M50" s="32">
        <v>3</v>
      </c>
      <c r="N50" s="32"/>
      <c r="O50" s="32"/>
      <c r="P50" s="33">
        <v>0</v>
      </c>
      <c r="Q50" s="38" t="s">
        <v>20</v>
      </c>
      <c r="R50" s="35" t="b">
        <v>0</v>
      </c>
    </row>
    <row r="51" spans="2:18" x14ac:dyDescent="0.2">
      <c r="B51" s="30"/>
      <c r="C51" s="36"/>
      <c r="D51" s="45" t="s">
        <v>35</v>
      </c>
      <c r="E51" s="45"/>
      <c r="G51">
        <v>6</v>
      </c>
      <c r="H51" t="s">
        <v>32</v>
      </c>
      <c r="L51" s="32">
        <v>2</v>
      </c>
      <c r="M51" s="32">
        <v>6</v>
      </c>
      <c r="N51" s="32"/>
      <c r="O51" s="32"/>
      <c r="P51" s="33">
        <v>0</v>
      </c>
      <c r="Q51" s="38" t="s">
        <v>20</v>
      </c>
      <c r="R51" s="35" t="b">
        <v>0</v>
      </c>
    </row>
    <row r="52" spans="2:18" x14ac:dyDescent="0.2">
      <c r="B52" s="30"/>
      <c r="C52" s="36"/>
      <c r="D52" s="45" t="s">
        <v>36</v>
      </c>
      <c r="E52" s="45"/>
      <c r="G52" s="46">
        <v>1</v>
      </c>
      <c r="H52" s="46" t="s">
        <v>32</v>
      </c>
      <c r="L52" s="32">
        <v>2</v>
      </c>
      <c r="M52" s="32">
        <v>7</v>
      </c>
      <c r="N52" s="32"/>
      <c r="O52" s="32"/>
      <c r="P52" s="33">
        <v>0</v>
      </c>
      <c r="Q52" s="38" t="s">
        <v>20</v>
      </c>
      <c r="R52" s="35" t="b">
        <v>0</v>
      </c>
    </row>
    <row r="53" spans="2:18" x14ac:dyDescent="0.2">
      <c r="B53" s="30"/>
      <c r="C53" s="36"/>
      <c r="D53" s="45" t="s">
        <v>37</v>
      </c>
      <c r="E53" s="45"/>
      <c r="G53" s="46">
        <v>1</v>
      </c>
      <c r="H53" s="46" t="s">
        <v>32</v>
      </c>
      <c r="L53" s="32">
        <v>2</v>
      </c>
      <c r="M53" s="32">
        <v>5</v>
      </c>
      <c r="N53" s="32"/>
      <c r="O53" s="32"/>
      <c r="P53" s="33">
        <v>0</v>
      </c>
      <c r="Q53" s="38" t="s">
        <v>20</v>
      </c>
      <c r="R53" s="35" t="b">
        <v>0</v>
      </c>
    </row>
    <row r="54" spans="2:18" x14ac:dyDescent="0.2">
      <c r="B54" s="30"/>
      <c r="C54" s="36"/>
      <c r="D54" s="45" t="s">
        <v>38</v>
      </c>
      <c r="E54" s="45"/>
      <c r="G54" s="46">
        <v>1</v>
      </c>
      <c r="H54" s="46" t="s">
        <v>32</v>
      </c>
      <c r="L54" s="32">
        <v>2</v>
      </c>
      <c r="M54" s="32">
        <v>5</v>
      </c>
      <c r="N54" s="32"/>
      <c r="O54" s="32"/>
      <c r="P54" s="33">
        <v>0</v>
      </c>
      <c r="Q54" s="38" t="s">
        <v>20</v>
      </c>
      <c r="R54" s="35" t="b">
        <v>0</v>
      </c>
    </row>
    <row r="55" spans="2:18" x14ac:dyDescent="0.2">
      <c r="B55" s="30"/>
      <c r="C55" s="36"/>
      <c r="D55" s="45" t="s">
        <v>39</v>
      </c>
      <c r="E55" s="45"/>
      <c r="G55" s="46">
        <v>1</v>
      </c>
      <c r="H55" s="46" t="s">
        <v>32</v>
      </c>
      <c r="L55" s="32">
        <v>2</v>
      </c>
      <c r="M55" s="32">
        <v>5</v>
      </c>
      <c r="N55" s="32"/>
      <c r="O55" s="32"/>
      <c r="P55" s="33">
        <v>0</v>
      </c>
      <c r="Q55" s="38" t="s">
        <v>20</v>
      </c>
      <c r="R55" s="35" t="b">
        <v>0</v>
      </c>
    </row>
    <row r="56" spans="2:18" x14ac:dyDescent="0.2">
      <c r="B56" s="30"/>
      <c r="C56" s="36"/>
      <c r="D56" s="44" t="s">
        <v>102</v>
      </c>
      <c r="E56" s="44"/>
      <c r="G56" s="46">
        <v>6</v>
      </c>
      <c r="H56" s="46" t="s">
        <v>32</v>
      </c>
      <c r="L56" s="32">
        <v>2</v>
      </c>
      <c r="M56" s="32">
        <v>5</v>
      </c>
      <c r="N56" s="32"/>
      <c r="O56" s="32"/>
      <c r="P56" s="33">
        <v>0</v>
      </c>
      <c r="Q56" s="38" t="s">
        <v>20</v>
      </c>
      <c r="R56" s="35" t="b">
        <v>0</v>
      </c>
    </row>
    <row r="57" spans="2:18" x14ac:dyDescent="0.2">
      <c r="B57" s="21">
        <v>7</v>
      </c>
      <c r="C57" s="22" t="s">
        <v>70</v>
      </c>
      <c r="D57" s="23"/>
      <c r="E57" s="23"/>
      <c r="F57" s="23"/>
      <c r="G57" s="23"/>
      <c r="H57" s="23"/>
      <c r="I57" s="23"/>
      <c r="J57" s="23"/>
      <c r="K57" s="23"/>
      <c r="L57" s="39"/>
      <c r="M57" s="26"/>
      <c r="N57" s="26"/>
      <c r="O57" s="26"/>
      <c r="P57" s="48">
        <v>0</v>
      </c>
      <c r="Q57" s="22"/>
      <c r="R57" s="49"/>
    </row>
    <row r="58" spans="2:18" x14ac:dyDescent="0.2">
      <c r="B58" s="30"/>
      <c r="C58" s="36"/>
      <c r="D58" t="s">
        <v>71</v>
      </c>
      <c r="L58" s="32">
        <v>2</v>
      </c>
      <c r="M58" s="32">
        <v>10</v>
      </c>
      <c r="N58" s="32"/>
      <c r="O58" s="32"/>
      <c r="P58" s="33">
        <v>0</v>
      </c>
      <c r="Q58" s="38" t="s">
        <v>20</v>
      </c>
      <c r="R58" s="35" t="b">
        <v>0</v>
      </c>
    </row>
    <row r="59" spans="2:18" x14ac:dyDescent="0.2">
      <c r="B59" s="30"/>
      <c r="C59" s="36"/>
      <c r="D59" t="s">
        <v>72</v>
      </c>
      <c r="L59" s="32">
        <v>2</v>
      </c>
      <c r="M59" s="32">
        <v>14</v>
      </c>
      <c r="N59" s="32"/>
      <c r="O59" s="32"/>
      <c r="P59" s="33">
        <v>0</v>
      </c>
      <c r="Q59" s="38" t="s">
        <v>20</v>
      </c>
      <c r="R59" s="35" t="b">
        <v>0</v>
      </c>
    </row>
    <row r="60" spans="2:18" x14ac:dyDescent="0.2">
      <c r="B60" s="30"/>
      <c r="C60" s="36"/>
      <c r="D60" t="s">
        <v>73</v>
      </c>
      <c r="L60" s="32">
        <v>1</v>
      </c>
      <c r="M60" s="32">
        <v>2</v>
      </c>
      <c r="N60" s="32"/>
      <c r="O60" s="32"/>
      <c r="P60" s="33">
        <v>0</v>
      </c>
      <c r="Q60" s="38" t="s">
        <v>20</v>
      </c>
      <c r="R60" s="35" t="b">
        <v>0</v>
      </c>
    </row>
    <row r="61" spans="2:18" x14ac:dyDescent="0.2">
      <c r="B61" s="21">
        <v>8</v>
      </c>
      <c r="C61" s="22" t="s">
        <v>74</v>
      </c>
      <c r="D61" s="23"/>
      <c r="E61" s="23"/>
      <c r="F61" s="23"/>
      <c r="G61" s="23"/>
      <c r="H61" s="23"/>
      <c r="I61" s="23"/>
      <c r="J61" s="23"/>
      <c r="K61" s="23"/>
      <c r="L61" s="39"/>
      <c r="M61" s="26"/>
      <c r="N61" s="26"/>
      <c r="O61" s="26"/>
      <c r="P61" s="48">
        <f>SUM(P62:P67)</f>
        <v>0</v>
      </c>
      <c r="Q61" s="22"/>
      <c r="R61" s="51"/>
    </row>
    <row r="62" spans="2:18" x14ac:dyDescent="0.2">
      <c r="B62" s="52"/>
      <c r="D62" t="s">
        <v>75</v>
      </c>
      <c r="L62" s="32">
        <v>1</v>
      </c>
      <c r="M62" s="32">
        <v>2</v>
      </c>
      <c r="N62" s="32"/>
      <c r="O62" s="32"/>
      <c r="P62" s="33">
        <v>0</v>
      </c>
      <c r="Q62" s="38" t="s">
        <v>20</v>
      </c>
      <c r="R62" s="35" t="b">
        <v>0</v>
      </c>
    </row>
    <row r="63" spans="2:18" x14ac:dyDescent="0.2">
      <c r="B63" s="52"/>
      <c r="D63" t="s">
        <v>76</v>
      </c>
      <c r="L63" s="32">
        <v>1</v>
      </c>
      <c r="M63" s="32">
        <v>2</v>
      </c>
      <c r="N63" s="32"/>
      <c r="O63" s="32"/>
      <c r="P63" s="33">
        <v>0</v>
      </c>
      <c r="Q63" s="38" t="s">
        <v>20</v>
      </c>
      <c r="R63" s="35" t="b">
        <v>0</v>
      </c>
    </row>
    <row r="64" spans="2:18" x14ac:dyDescent="0.2">
      <c r="B64" s="52"/>
      <c r="D64" t="s">
        <v>74</v>
      </c>
      <c r="L64" s="32">
        <v>1</v>
      </c>
      <c r="M64" s="32">
        <v>4</v>
      </c>
      <c r="N64" s="32"/>
      <c r="O64" s="32"/>
      <c r="P64" s="33">
        <v>0</v>
      </c>
      <c r="Q64" s="38" t="s">
        <v>20</v>
      </c>
      <c r="R64" s="35" t="b">
        <v>0</v>
      </c>
    </row>
    <row r="65" spans="2:18" x14ac:dyDescent="0.2">
      <c r="B65" s="52"/>
      <c r="D65" t="s">
        <v>77</v>
      </c>
      <c r="L65" s="32">
        <v>1</v>
      </c>
      <c r="M65" s="32"/>
      <c r="N65" s="32"/>
      <c r="O65" s="32"/>
      <c r="P65" s="33">
        <v>0</v>
      </c>
      <c r="Q65" s="38" t="s">
        <v>20</v>
      </c>
      <c r="R65" s="35" t="b">
        <v>0</v>
      </c>
    </row>
    <row r="66" spans="2:18" x14ac:dyDescent="0.2">
      <c r="B66" s="52"/>
      <c r="D66" t="s">
        <v>78</v>
      </c>
      <c r="L66" s="32">
        <v>1</v>
      </c>
      <c r="M66" s="32">
        <v>2</v>
      </c>
      <c r="N66" s="32"/>
      <c r="O66" s="32"/>
      <c r="P66" s="33">
        <v>0</v>
      </c>
      <c r="Q66" s="38" t="s">
        <v>20</v>
      </c>
      <c r="R66" s="35" t="b">
        <v>0</v>
      </c>
    </row>
    <row r="67" spans="2:18" x14ac:dyDescent="0.2">
      <c r="B67" s="52"/>
      <c r="D67" t="s">
        <v>79</v>
      </c>
      <c r="L67" s="32">
        <v>1</v>
      </c>
      <c r="M67" s="32"/>
      <c r="N67" s="32"/>
      <c r="O67" s="32"/>
      <c r="P67" s="33">
        <f t="shared" ref="P67" si="2">M67*L67</f>
        <v>0</v>
      </c>
      <c r="Q67" s="38" t="s">
        <v>20</v>
      </c>
      <c r="R67" s="35" t="b">
        <v>0</v>
      </c>
    </row>
    <row r="68" spans="2:18" x14ac:dyDescent="0.2">
      <c r="B68" s="53">
        <v>9</v>
      </c>
      <c r="C68" s="54" t="s">
        <v>80</v>
      </c>
      <c r="D68" s="55"/>
      <c r="E68" s="55"/>
      <c r="F68" s="55"/>
      <c r="G68" s="55"/>
      <c r="H68" s="55"/>
      <c r="I68" s="55"/>
      <c r="J68" s="55"/>
      <c r="K68" s="55"/>
      <c r="L68" s="56"/>
      <c r="M68" s="55"/>
      <c r="N68" s="55"/>
      <c r="O68" s="26"/>
      <c r="P68" s="48">
        <f>SUM(P69)</f>
        <v>0</v>
      </c>
      <c r="Q68" s="55"/>
      <c r="R68" s="57"/>
    </row>
    <row r="69" spans="2:18" ht="38.25" x14ac:dyDescent="0.2">
      <c r="B69" s="30"/>
      <c r="C69" s="36"/>
      <c r="D69" s="58" t="s">
        <v>81</v>
      </c>
      <c r="E69" s="58"/>
      <c r="F69" s="58"/>
      <c r="G69" s="58"/>
      <c r="H69" s="58"/>
      <c r="L69" s="59">
        <v>1</v>
      </c>
      <c r="M69" s="59">
        <v>4</v>
      </c>
      <c r="N69" s="59"/>
      <c r="O69" s="59"/>
      <c r="P69" s="59">
        <v>0</v>
      </c>
      <c r="Q69" s="92" t="s">
        <v>20</v>
      </c>
      <c r="R69" s="35" t="b">
        <v>0</v>
      </c>
    </row>
    <row r="70" spans="2:18" x14ac:dyDescent="0.2">
      <c r="B70" s="52"/>
      <c r="D70" t="s">
        <v>82</v>
      </c>
      <c r="L70" s="32">
        <v>1</v>
      </c>
      <c r="M70" s="32">
        <v>2</v>
      </c>
      <c r="N70" s="32"/>
      <c r="O70" s="32"/>
      <c r="P70" s="33">
        <v>0</v>
      </c>
      <c r="Q70" s="38" t="s">
        <v>20</v>
      </c>
      <c r="R70" s="35" t="b">
        <v>0</v>
      </c>
    </row>
    <row r="71" spans="2:18" x14ac:dyDescent="0.2">
      <c r="B71" s="60" t="s">
        <v>83</v>
      </c>
      <c r="C71" s="23"/>
      <c r="D71" s="23"/>
      <c r="E71" s="23"/>
      <c r="F71" s="23"/>
      <c r="G71" s="23"/>
      <c r="H71" s="23"/>
      <c r="I71" s="23"/>
      <c r="J71" s="23"/>
      <c r="K71" s="23"/>
      <c r="L71" s="26" t="s">
        <v>84</v>
      </c>
      <c r="M71" s="26"/>
      <c r="N71" s="26"/>
      <c r="O71" s="26"/>
      <c r="P71" s="48">
        <f>P61+P57+P44+P39+P33+P27+P11+P3+P68</f>
        <v>0</v>
      </c>
      <c r="Q71" s="22"/>
      <c r="R71" s="55"/>
    </row>
    <row r="72" spans="2:18" x14ac:dyDescent="0.2">
      <c r="B72" s="52"/>
      <c r="C72" s="103" t="s">
        <v>85</v>
      </c>
      <c r="D72" s="103"/>
      <c r="E72" s="61"/>
      <c r="F72" s="61"/>
      <c r="G72" s="61"/>
      <c r="H72" s="61"/>
      <c r="I72" s="62"/>
      <c r="J72" s="62"/>
      <c r="K72" s="62"/>
      <c r="L72" s="52"/>
      <c r="M72" s="52"/>
      <c r="N72" s="52"/>
      <c r="O72" s="52"/>
      <c r="R72" s="63"/>
    </row>
    <row r="73" spans="2:18" x14ac:dyDescent="0.2">
      <c r="B73" s="52"/>
      <c r="C73" s="103"/>
      <c r="D73" s="103"/>
      <c r="E73" s="61"/>
      <c r="F73" s="61"/>
      <c r="G73" s="61"/>
      <c r="H73" s="61"/>
      <c r="L73" s="52"/>
      <c r="M73" s="52"/>
      <c r="N73" s="52"/>
      <c r="O73" s="52"/>
      <c r="R73" s="63"/>
    </row>
  </sheetData>
  <mergeCells count="8">
    <mergeCell ref="D8:F8"/>
    <mergeCell ref="C72:D73"/>
    <mergeCell ref="B1:C1"/>
    <mergeCell ref="H2:I2"/>
    <mergeCell ref="D4:F4"/>
    <mergeCell ref="D5:F5"/>
    <mergeCell ref="D6:F6"/>
    <mergeCell ref="D7:F7"/>
  </mergeCells>
  <conditionalFormatting sqref="F1">
    <cfRule type="expression" dxfId="13" priority="2">
      <formula>#REF!&gt;15</formula>
    </cfRule>
  </conditionalFormatting>
  <conditionalFormatting sqref="H1">
    <cfRule type="expression" dxfId="12" priority="1">
      <formula>#REF!&gt;$O$3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E013-BE02-4001-A572-002722335F38}">
  <dimension ref="B1:R73"/>
  <sheetViews>
    <sheetView zoomScale="70" zoomScaleNormal="70" workbookViewId="0">
      <selection activeCell="R1" sqref="R1"/>
    </sheetView>
  </sheetViews>
  <sheetFormatPr defaultRowHeight="12.75" x14ac:dyDescent="0.2"/>
  <cols>
    <col min="1" max="1" width="0.7109375" customWidth="1"/>
    <col min="4" max="4" width="47.42578125" bestFit="1" customWidth="1"/>
    <col min="7" max="7" width="11" customWidth="1"/>
    <col min="9" max="9" width="11.140625" customWidth="1"/>
  </cols>
  <sheetData>
    <row r="1" spans="2:18" ht="59.45" customHeight="1" thickBot="1" x14ac:dyDescent="0.25">
      <c r="B1" s="111" t="s">
        <v>91</v>
      </c>
      <c r="C1" s="111"/>
      <c r="D1" s="1" t="s">
        <v>92</v>
      </c>
      <c r="E1" s="2" t="s">
        <v>0</v>
      </c>
      <c r="F1" s="93"/>
      <c r="G1" s="2" t="s">
        <v>93</v>
      </c>
      <c r="H1" s="94">
        <f>SUM(O4:O70)</f>
        <v>0</v>
      </c>
      <c r="I1" s="2" t="s">
        <v>2</v>
      </c>
      <c r="J1" s="95">
        <f>SUM(P3:P71)</f>
        <v>0</v>
      </c>
      <c r="K1" s="7" t="s">
        <v>3</v>
      </c>
      <c r="L1" s="96">
        <f>(COUNTA(O4:O32)/COUNTA(D4:D32))*100%</f>
        <v>0</v>
      </c>
      <c r="M1" s="7" t="s">
        <v>4</v>
      </c>
      <c r="N1" s="97">
        <f>(COUNTA(N45:N70)/COUNTA(D45:D70))*100%</f>
        <v>0</v>
      </c>
      <c r="O1" s="7" t="s">
        <v>5</v>
      </c>
      <c r="P1" s="97">
        <f>(COUNTA(N34:N43)/COUNTA(D34:D43))*100%</f>
        <v>0</v>
      </c>
      <c r="Q1" s="7" t="s">
        <v>6</v>
      </c>
      <c r="R1" s="13"/>
    </row>
    <row r="2" spans="2:18" ht="64.5" thickBot="1" x14ac:dyDescent="0.25">
      <c r="B2" s="79" t="s">
        <v>7</v>
      </c>
      <c r="C2" s="79"/>
      <c r="D2" s="79"/>
      <c r="E2" s="79"/>
      <c r="F2" s="79"/>
      <c r="G2" s="80" t="s">
        <v>8</v>
      </c>
      <c r="H2" s="112"/>
      <c r="I2" s="113"/>
      <c r="J2" s="81"/>
      <c r="K2" s="81"/>
      <c r="L2" s="98" t="s">
        <v>94</v>
      </c>
      <c r="M2" s="82" t="s">
        <v>10</v>
      </c>
      <c r="N2" s="83" t="s">
        <v>11</v>
      </c>
      <c r="O2" s="82" t="s">
        <v>12</v>
      </c>
      <c r="P2" s="83" t="s">
        <v>13</v>
      </c>
      <c r="Q2" s="84" t="s">
        <v>14</v>
      </c>
      <c r="R2" s="84" t="s">
        <v>15</v>
      </c>
    </row>
    <row r="3" spans="2:18" x14ac:dyDescent="0.2">
      <c r="B3" s="21">
        <v>1</v>
      </c>
      <c r="C3" s="22" t="s">
        <v>16</v>
      </c>
      <c r="D3" s="23"/>
      <c r="E3" s="23"/>
      <c r="F3" s="23"/>
      <c r="G3" s="23"/>
      <c r="H3" s="23"/>
      <c r="I3" s="23"/>
      <c r="J3" s="23"/>
      <c r="K3" s="23"/>
      <c r="L3" s="24"/>
      <c r="M3" s="25"/>
      <c r="N3" s="25"/>
      <c r="O3" s="26"/>
      <c r="P3" s="27"/>
      <c r="Q3" s="28"/>
      <c r="R3" s="29"/>
    </row>
    <row r="4" spans="2:18" x14ac:dyDescent="0.2">
      <c r="B4" s="30"/>
      <c r="C4" s="31"/>
      <c r="D4" s="102" t="s">
        <v>17</v>
      </c>
      <c r="E4" s="102"/>
      <c r="F4" s="102"/>
      <c r="L4" s="32"/>
      <c r="M4" s="32"/>
      <c r="N4" s="32"/>
      <c r="O4" s="32"/>
      <c r="P4" s="33">
        <v>0</v>
      </c>
      <c r="Q4" s="34" t="s">
        <v>18</v>
      </c>
      <c r="R4" s="35" t="b">
        <v>0</v>
      </c>
    </row>
    <row r="5" spans="2:18" x14ac:dyDescent="0.2">
      <c r="B5" s="30"/>
      <c r="C5" s="36"/>
      <c r="D5" s="102" t="s">
        <v>19</v>
      </c>
      <c r="E5" s="102"/>
      <c r="F5" s="102"/>
      <c r="L5" s="32">
        <v>1</v>
      </c>
      <c r="M5" s="32">
        <v>1</v>
      </c>
      <c r="N5" s="37"/>
      <c r="O5" s="32"/>
      <c r="P5" s="33">
        <v>0</v>
      </c>
      <c r="Q5" s="38" t="s">
        <v>20</v>
      </c>
      <c r="R5" s="35" t="b">
        <v>0</v>
      </c>
    </row>
    <row r="6" spans="2:18" x14ac:dyDescent="0.2">
      <c r="B6" s="30"/>
      <c r="C6" s="36"/>
      <c r="D6" s="102" t="s">
        <v>21</v>
      </c>
      <c r="E6" s="102"/>
      <c r="F6" s="102"/>
      <c r="L6" s="32">
        <v>1</v>
      </c>
      <c r="M6" s="32">
        <v>2</v>
      </c>
      <c r="N6" s="37"/>
      <c r="O6" s="32"/>
      <c r="P6" s="33">
        <v>0</v>
      </c>
      <c r="Q6" s="38" t="s">
        <v>20</v>
      </c>
      <c r="R6" s="35" t="b">
        <v>0</v>
      </c>
    </row>
    <row r="7" spans="2:18" x14ac:dyDescent="0.2">
      <c r="B7" s="30"/>
      <c r="C7" s="36"/>
      <c r="D7" s="102" t="s">
        <v>22</v>
      </c>
      <c r="E7" s="102"/>
      <c r="F7" s="102"/>
      <c r="L7" s="32">
        <v>1</v>
      </c>
      <c r="M7" s="32">
        <v>2</v>
      </c>
      <c r="N7" s="37"/>
      <c r="O7" s="32"/>
      <c r="P7" s="33">
        <v>0</v>
      </c>
      <c r="Q7" s="38" t="s">
        <v>20</v>
      </c>
      <c r="R7" s="35" t="b">
        <v>0</v>
      </c>
    </row>
    <row r="8" spans="2:18" x14ac:dyDescent="0.2">
      <c r="B8" s="30"/>
      <c r="C8" s="31"/>
      <c r="D8" s="102" t="s">
        <v>23</v>
      </c>
      <c r="E8" s="102"/>
      <c r="F8" s="102"/>
      <c r="L8" s="32"/>
      <c r="M8" s="32"/>
      <c r="N8" s="32"/>
      <c r="O8" s="32"/>
      <c r="P8" s="33">
        <v>0</v>
      </c>
      <c r="Q8" s="34" t="s">
        <v>18</v>
      </c>
      <c r="R8" s="35" t="b">
        <v>0</v>
      </c>
    </row>
    <row r="9" spans="2:18" x14ac:dyDescent="0.2">
      <c r="B9" s="30"/>
      <c r="C9" s="36"/>
      <c r="D9" t="s">
        <v>25</v>
      </c>
      <c r="L9" s="32"/>
      <c r="M9" s="32"/>
      <c r="N9" s="37"/>
      <c r="O9" s="32"/>
      <c r="P9" s="33">
        <v>0</v>
      </c>
      <c r="Q9" s="38" t="s">
        <v>20</v>
      </c>
      <c r="R9" s="35" t="b">
        <v>0</v>
      </c>
    </row>
    <row r="10" spans="2:18" x14ac:dyDescent="0.2">
      <c r="B10" s="30"/>
      <c r="C10" s="36"/>
      <c r="D10" t="s">
        <v>26</v>
      </c>
      <c r="L10" s="32">
        <v>1</v>
      </c>
      <c r="M10" s="32">
        <v>6</v>
      </c>
      <c r="N10" s="37"/>
      <c r="O10" s="32"/>
      <c r="P10" s="33">
        <v>0</v>
      </c>
      <c r="Q10" s="38" t="s">
        <v>20</v>
      </c>
      <c r="R10" s="35" t="b">
        <v>0</v>
      </c>
    </row>
    <row r="11" spans="2:18" x14ac:dyDescent="0.2">
      <c r="B11" s="21">
        <v>2</v>
      </c>
      <c r="C11" s="22" t="s">
        <v>27</v>
      </c>
      <c r="D11" s="23"/>
      <c r="E11" s="23"/>
      <c r="F11" s="23"/>
      <c r="G11" s="23"/>
      <c r="H11" s="23"/>
      <c r="I11" s="23"/>
      <c r="J11" s="23"/>
      <c r="K11" s="23"/>
      <c r="L11" s="39"/>
      <c r="M11" s="26"/>
      <c r="N11" s="26"/>
      <c r="O11" s="26"/>
      <c r="P11" s="40">
        <f>SUM(P12:P26)</f>
        <v>0</v>
      </c>
      <c r="Q11" s="41"/>
      <c r="R11" s="42"/>
    </row>
    <row r="12" spans="2:18" x14ac:dyDescent="0.2">
      <c r="B12" s="30"/>
      <c r="C12" s="43"/>
      <c r="D12" t="s">
        <v>28</v>
      </c>
      <c r="L12" s="32">
        <v>1</v>
      </c>
      <c r="M12" s="32">
        <v>1</v>
      </c>
      <c r="N12" s="37"/>
      <c r="O12" s="32"/>
      <c r="P12" s="33">
        <v>0</v>
      </c>
      <c r="Q12" s="38" t="s">
        <v>20</v>
      </c>
      <c r="R12" s="35" t="b">
        <v>0</v>
      </c>
    </row>
    <row r="13" spans="2:18" x14ac:dyDescent="0.2">
      <c r="B13" s="30"/>
      <c r="C13" s="36"/>
      <c r="D13" t="s">
        <v>29</v>
      </c>
      <c r="L13" s="32">
        <v>2</v>
      </c>
      <c r="M13" s="32">
        <v>10</v>
      </c>
      <c r="N13" s="37"/>
      <c r="O13" s="32"/>
      <c r="P13" s="33">
        <v>0</v>
      </c>
      <c r="Q13" s="38" t="s">
        <v>20</v>
      </c>
      <c r="R13" s="35" t="b">
        <v>0</v>
      </c>
    </row>
    <row r="14" spans="2:18" x14ac:dyDescent="0.2">
      <c r="B14" s="30"/>
      <c r="C14" s="36"/>
      <c r="D14" t="s">
        <v>30</v>
      </c>
      <c r="L14" s="32"/>
      <c r="M14" s="32"/>
      <c r="N14" s="32"/>
      <c r="O14" s="32"/>
      <c r="P14" s="33">
        <v>0</v>
      </c>
      <c r="Q14" s="38" t="s">
        <v>20</v>
      </c>
      <c r="R14" s="35" t="b">
        <v>0</v>
      </c>
    </row>
    <row r="15" spans="2:18" x14ac:dyDescent="0.2">
      <c r="B15" s="30"/>
      <c r="C15" s="36"/>
      <c r="D15" s="44" t="s">
        <v>31</v>
      </c>
      <c r="E15" s="44"/>
      <c r="G15">
        <v>1</v>
      </c>
      <c r="H15" t="s">
        <v>32</v>
      </c>
      <c r="L15" s="32">
        <v>2</v>
      </c>
      <c r="M15" s="32">
        <v>6</v>
      </c>
      <c r="N15" s="37"/>
      <c r="O15" s="32"/>
      <c r="P15" s="33">
        <v>0</v>
      </c>
      <c r="Q15" s="38" t="s">
        <v>20</v>
      </c>
      <c r="R15" s="35" t="b">
        <v>0</v>
      </c>
    </row>
    <row r="16" spans="2:18" x14ac:dyDescent="0.2">
      <c r="B16" s="30"/>
      <c r="C16" s="36"/>
      <c r="D16" s="44" t="s">
        <v>33</v>
      </c>
      <c r="E16" s="44"/>
      <c r="G16">
        <v>1</v>
      </c>
      <c r="H16" t="s">
        <v>32</v>
      </c>
      <c r="L16" s="32">
        <v>2</v>
      </c>
      <c r="M16" s="32">
        <v>2</v>
      </c>
      <c r="N16" s="37"/>
      <c r="O16" s="32"/>
      <c r="P16" s="33">
        <v>0</v>
      </c>
      <c r="Q16" s="38" t="s">
        <v>20</v>
      </c>
      <c r="R16" s="35" t="b">
        <v>0</v>
      </c>
    </row>
    <row r="17" spans="2:18" x14ac:dyDescent="0.2">
      <c r="B17" s="30"/>
      <c r="C17" s="36"/>
      <c r="D17" s="44" t="s">
        <v>34</v>
      </c>
      <c r="E17" s="44"/>
      <c r="G17">
        <v>1</v>
      </c>
      <c r="H17" t="s">
        <v>32</v>
      </c>
      <c r="L17" s="32">
        <v>2</v>
      </c>
      <c r="M17" s="32">
        <v>8</v>
      </c>
      <c r="N17" s="37"/>
      <c r="O17" s="32"/>
      <c r="P17" s="33">
        <v>0</v>
      </c>
      <c r="Q17" s="38" t="s">
        <v>20</v>
      </c>
      <c r="R17" s="35" t="b">
        <v>0</v>
      </c>
    </row>
    <row r="18" spans="2:18" x14ac:dyDescent="0.2">
      <c r="B18" s="30"/>
      <c r="C18" s="36"/>
      <c r="D18" s="45" t="s">
        <v>35</v>
      </c>
      <c r="E18" s="45"/>
      <c r="G18">
        <v>6</v>
      </c>
      <c r="H18" t="s">
        <v>32</v>
      </c>
      <c r="L18" s="32">
        <v>2</v>
      </c>
      <c r="M18" s="32">
        <v>5</v>
      </c>
      <c r="N18" s="37"/>
      <c r="O18" s="32"/>
      <c r="P18" s="33">
        <v>0</v>
      </c>
      <c r="Q18" s="38" t="s">
        <v>20</v>
      </c>
      <c r="R18" s="35" t="b">
        <v>0</v>
      </c>
    </row>
    <row r="19" spans="2:18" x14ac:dyDescent="0.2">
      <c r="B19" s="30"/>
      <c r="C19" s="36"/>
      <c r="D19" s="45" t="s">
        <v>36</v>
      </c>
      <c r="E19" s="45"/>
      <c r="G19" s="46">
        <v>1</v>
      </c>
      <c r="H19" s="46" t="s">
        <v>32</v>
      </c>
      <c r="L19" s="32">
        <v>2</v>
      </c>
      <c r="M19" s="32">
        <v>8</v>
      </c>
      <c r="N19" s="37"/>
      <c r="O19" s="32"/>
      <c r="P19" s="33">
        <v>0</v>
      </c>
      <c r="Q19" s="38" t="s">
        <v>20</v>
      </c>
      <c r="R19" s="35" t="b">
        <v>0</v>
      </c>
    </row>
    <row r="20" spans="2:18" x14ac:dyDescent="0.2">
      <c r="B20" s="30"/>
      <c r="C20" s="36"/>
      <c r="D20" s="45" t="s">
        <v>37</v>
      </c>
      <c r="E20" s="45"/>
      <c r="G20" s="46">
        <v>1</v>
      </c>
      <c r="H20" s="46" t="s">
        <v>32</v>
      </c>
      <c r="L20" s="32">
        <v>2</v>
      </c>
      <c r="M20" s="32">
        <v>2</v>
      </c>
      <c r="N20" s="37"/>
      <c r="O20" s="32"/>
      <c r="P20" s="33">
        <v>0</v>
      </c>
      <c r="Q20" s="38" t="s">
        <v>20</v>
      </c>
      <c r="R20" s="35" t="b">
        <v>0</v>
      </c>
    </row>
    <row r="21" spans="2:18" x14ac:dyDescent="0.2">
      <c r="B21" s="30"/>
      <c r="C21" s="36"/>
      <c r="D21" s="45" t="s">
        <v>38</v>
      </c>
      <c r="E21" s="45"/>
      <c r="G21" s="46">
        <v>1</v>
      </c>
      <c r="H21" s="46" t="s">
        <v>32</v>
      </c>
      <c r="L21" s="32">
        <v>2</v>
      </c>
      <c r="M21" s="32">
        <v>2</v>
      </c>
      <c r="N21" s="37"/>
      <c r="O21" s="32"/>
      <c r="P21" s="33">
        <v>0</v>
      </c>
      <c r="Q21" s="38" t="s">
        <v>20</v>
      </c>
      <c r="R21" s="35" t="b">
        <v>0</v>
      </c>
    </row>
    <row r="22" spans="2:18" x14ac:dyDescent="0.2">
      <c r="B22" s="30"/>
      <c r="C22" s="36"/>
      <c r="D22" s="45" t="s">
        <v>39</v>
      </c>
      <c r="E22" s="45"/>
      <c r="G22" s="46">
        <v>1</v>
      </c>
      <c r="H22" s="46" t="s">
        <v>32</v>
      </c>
      <c r="L22" s="32">
        <v>2</v>
      </c>
      <c r="M22" s="32">
        <v>2</v>
      </c>
      <c r="N22" s="37"/>
      <c r="O22" s="32"/>
      <c r="P22" s="33">
        <v>0</v>
      </c>
      <c r="Q22" s="38" t="s">
        <v>20</v>
      </c>
      <c r="R22" s="35" t="b">
        <v>0</v>
      </c>
    </row>
    <row r="23" spans="2:18" x14ac:dyDescent="0.2">
      <c r="B23" s="30"/>
      <c r="C23" s="36"/>
      <c r="D23" s="45" t="s">
        <v>40</v>
      </c>
      <c r="E23" s="45"/>
      <c r="G23" s="46">
        <v>1</v>
      </c>
      <c r="H23" s="46" t="s">
        <v>32</v>
      </c>
      <c r="L23" s="32">
        <v>2</v>
      </c>
      <c r="M23" s="32">
        <v>2</v>
      </c>
      <c r="N23" s="37"/>
      <c r="O23" s="32"/>
      <c r="P23" s="33">
        <v>0</v>
      </c>
      <c r="Q23" s="38" t="s">
        <v>20</v>
      </c>
      <c r="R23" s="35" t="b">
        <v>0</v>
      </c>
    </row>
    <row r="24" spans="2:18" x14ac:dyDescent="0.2">
      <c r="B24" s="30"/>
      <c r="C24" s="36"/>
      <c r="D24" s="44" t="s">
        <v>95</v>
      </c>
      <c r="E24" s="44"/>
      <c r="G24" s="46">
        <v>6</v>
      </c>
      <c r="H24" s="46" t="s">
        <v>32</v>
      </c>
      <c r="L24" s="32">
        <v>2</v>
      </c>
      <c r="M24" s="32">
        <v>2</v>
      </c>
      <c r="N24" s="37"/>
      <c r="O24" s="32"/>
      <c r="P24" s="33">
        <v>0</v>
      </c>
      <c r="Q24" s="38" t="s">
        <v>20</v>
      </c>
      <c r="R24" s="35" t="b">
        <v>0</v>
      </c>
    </row>
    <row r="25" spans="2:18" x14ac:dyDescent="0.2">
      <c r="B25" s="30"/>
      <c r="C25" s="36"/>
      <c r="D25" t="s">
        <v>42</v>
      </c>
      <c r="L25" s="32"/>
      <c r="M25" s="32"/>
      <c r="N25" s="32"/>
      <c r="O25" s="32"/>
      <c r="P25" s="33">
        <v>0</v>
      </c>
      <c r="Q25" s="38" t="s">
        <v>20</v>
      </c>
      <c r="R25" s="35" t="b">
        <v>0</v>
      </c>
    </row>
    <row r="26" spans="2:18" x14ac:dyDescent="0.2">
      <c r="B26" s="30"/>
      <c r="C26" s="36"/>
      <c r="D26" t="s">
        <v>43</v>
      </c>
      <c r="L26" s="32"/>
      <c r="M26" s="32"/>
      <c r="N26" s="32"/>
      <c r="O26" s="32"/>
      <c r="P26" s="33">
        <v>0</v>
      </c>
      <c r="Q26" s="38"/>
      <c r="R26" s="35" t="b">
        <v>0</v>
      </c>
    </row>
    <row r="27" spans="2:18" x14ac:dyDescent="0.2">
      <c r="B27" s="21">
        <v>3</v>
      </c>
      <c r="C27" s="22" t="s">
        <v>44</v>
      </c>
      <c r="D27" s="23"/>
      <c r="E27" s="23"/>
      <c r="F27" s="23"/>
      <c r="G27" s="23"/>
      <c r="H27" s="23"/>
      <c r="I27" s="23"/>
      <c r="J27" s="23"/>
      <c r="K27" s="23"/>
      <c r="L27" s="39"/>
      <c r="M27" s="26"/>
      <c r="N27" s="26"/>
      <c r="O27" s="26"/>
      <c r="P27" s="48">
        <f>SUM(P28:P32)</f>
        <v>0</v>
      </c>
      <c r="Q27" s="41"/>
      <c r="R27" s="49"/>
    </row>
    <row r="28" spans="2:18" x14ac:dyDescent="0.2">
      <c r="B28" s="30"/>
      <c r="C28" s="36"/>
      <c r="D28" t="s">
        <v>45</v>
      </c>
      <c r="L28" s="32">
        <v>2</v>
      </c>
      <c r="M28" s="32">
        <v>4</v>
      </c>
      <c r="N28" s="32"/>
      <c r="O28" s="32"/>
      <c r="P28" s="33">
        <v>0</v>
      </c>
      <c r="Q28" s="38" t="s">
        <v>20</v>
      </c>
      <c r="R28" s="35" t="b">
        <v>0</v>
      </c>
    </row>
    <row r="29" spans="2:18" x14ac:dyDescent="0.2">
      <c r="B29" s="30"/>
      <c r="C29" s="36"/>
      <c r="D29" s="46" t="s">
        <v>46</v>
      </c>
      <c r="L29" s="32">
        <v>2</v>
      </c>
      <c r="M29" s="32">
        <v>4</v>
      </c>
      <c r="N29" s="32"/>
      <c r="O29" s="32"/>
      <c r="P29" s="33">
        <v>0</v>
      </c>
      <c r="Q29" s="38" t="s">
        <v>20</v>
      </c>
      <c r="R29" s="35" t="b">
        <v>0</v>
      </c>
    </row>
    <row r="30" spans="2:18" x14ac:dyDescent="0.2">
      <c r="B30" s="30"/>
      <c r="C30" s="36"/>
      <c r="D30" t="s">
        <v>47</v>
      </c>
      <c r="L30" s="32">
        <v>1</v>
      </c>
      <c r="M30" s="32">
        <v>2</v>
      </c>
      <c r="N30" s="32"/>
      <c r="O30" s="32"/>
      <c r="P30" s="33">
        <v>0</v>
      </c>
      <c r="Q30" s="38" t="s">
        <v>20</v>
      </c>
      <c r="R30" s="35" t="b">
        <v>0</v>
      </c>
    </row>
    <row r="31" spans="2:18" x14ac:dyDescent="0.2">
      <c r="B31" s="30"/>
      <c r="C31" s="36"/>
      <c r="D31" t="s">
        <v>48</v>
      </c>
      <c r="L31" s="32">
        <v>2</v>
      </c>
      <c r="M31" s="32">
        <v>2</v>
      </c>
      <c r="N31" s="32"/>
      <c r="O31" s="32"/>
      <c r="P31" s="33">
        <v>0</v>
      </c>
      <c r="Q31" s="38" t="s">
        <v>20</v>
      </c>
      <c r="R31" s="35" t="b">
        <v>0</v>
      </c>
    </row>
    <row r="32" spans="2:18" x14ac:dyDescent="0.2">
      <c r="B32" s="30"/>
      <c r="C32" s="36"/>
      <c r="D32" t="s">
        <v>49</v>
      </c>
      <c r="L32" s="32"/>
      <c r="M32" s="32"/>
      <c r="N32" s="32"/>
      <c r="O32" s="32"/>
      <c r="P32" s="33">
        <v>0</v>
      </c>
      <c r="Q32" s="34" t="s">
        <v>18</v>
      </c>
      <c r="R32" s="35" t="b">
        <v>0</v>
      </c>
    </row>
    <row r="33" spans="2:18" x14ac:dyDescent="0.2">
      <c r="B33" s="21">
        <v>4</v>
      </c>
      <c r="C33" s="22" t="s">
        <v>50</v>
      </c>
      <c r="D33" s="23"/>
      <c r="E33" s="23"/>
      <c r="F33" s="23"/>
      <c r="G33" s="23"/>
      <c r="H33" s="23"/>
      <c r="I33" s="23"/>
      <c r="J33" s="23"/>
      <c r="K33" s="23"/>
      <c r="L33" s="39"/>
      <c r="M33" s="26"/>
      <c r="N33" s="26"/>
      <c r="O33" s="22"/>
      <c r="P33" s="22">
        <f>SUM(P34:P38)</f>
        <v>0</v>
      </c>
      <c r="Q33" s="41"/>
      <c r="R33" s="49"/>
    </row>
    <row r="34" spans="2:18" x14ac:dyDescent="0.2">
      <c r="B34" s="30"/>
      <c r="C34" s="36"/>
      <c r="D34" t="s">
        <v>51</v>
      </c>
      <c r="L34" s="32"/>
      <c r="M34" s="32"/>
      <c r="N34" s="32"/>
      <c r="O34" s="32"/>
      <c r="P34" s="33">
        <f>N34*M34*L34</f>
        <v>0</v>
      </c>
      <c r="Q34" s="34" t="s">
        <v>96</v>
      </c>
      <c r="R34" s="35" t="b">
        <v>0</v>
      </c>
    </row>
    <row r="35" spans="2:18" x14ac:dyDescent="0.2">
      <c r="B35" s="30"/>
      <c r="C35" s="36"/>
      <c r="D35" t="s">
        <v>53</v>
      </c>
      <c r="L35" s="32"/>
      <c r="M35" s="32"/>
      <c r="N35" s="32"/>
      <c r="O35" s="32"/>
      <c r="P35" s="33">
        <f>N35*M35*L35</f>
        <v>0</v>
      </c>
      <c r="Q35" s="34" t="s">
        <v>96</v>
      </c>
      <c r="R35" s="35" t="b">
        <v>0</v>
      </c>
    </row>
    <row r="36" spans="2:18" x14ac:dyDescent="0.2">
      <c r="B36" s="30"/>
      <c r="C36" s="36"/>
      <c r="D36" t="s">
        <v>54</v>
      </c>
      <c r="L36" s="32"/>
      <c r="M36" s="32"/>
      <c r="N36" s="32"/>
      <c r="O36" s="32"/>
      <c r="P36" s="33">
        <f>N36*M36*L36</f>
        <v>0</v>
      </c>
      <c r="Q36" s="34" t="s">
        <v>55</v>
      </c>
      <c r="R36" s="35" t="b">
        <v>0</v>
      </c>
    </row>
    <row r="37" spans="2:18" x14ac:dyDescent="0.2">
      <c r="B37" s="30"/>
      <c r="C37" s="36"/>
      <c r="D37" t="s">
        <v>56</v>
      </c>
      <c r="L37" s="32"/>
      <c r="M37" s="32"/>
      <c r="N37" s="32"/>
      <c r="O37" s="32"/>
      <c r="P37" s="33">
        <f>N37*M37*L37</f>
        <v>0</v>
      </c>
      <c r="Q37" s="34" t="s">
        <v>18</v>
      </c>
      <c r="R37" s="35" t="b">
        <v>0</v>
      </c>
    </row>
    <row r="38" spans="2:18" x14ac:dyDescent="0.2">
      <c r="B38" s="30"/>
      <c r="C38" s="36"/>
      <c r="D38" t="s">
        <v>57</v>
      </c>
      <c r="L38" s="32"/>
      <c r="M38" s="32"/>
      <c r="N38" s="32"/>
      <c r="O38" s="32"/>
      <c r="P38" s="33">
        <f>N38*M38*L38</f>
        <v>0</v>
      </c>
      <c r="Q38" s="34" t="s">
        <v>58</v>
      </c>
      <c r="R38" s="35" t="b">
        <v>0</v>
      </c>
    </row>
    <row r="39" spans="2:18" x14ac:dyDescent="0.2">
      <c r="B39" s="21">
        <v>5</v>
      </c>
      <c r="C39" s="22" t="s">
        <v>59</v>
      </c>
      <c r="D39" s="23"/>
      <c r="E39" s="23"/>
      <c r="F39" s="23"/>
      <c r="G39" s="23"/>
      <c r="H39" s="23"/>
      <c r="I39" s="23"/>
      <c r="J39" s="23"/>
      <c r="K39" s="23"/>
      <c r="L39" s="39"/>
      <c r="M39" s="26"/>
      <c r="N39" s="26"/>
      <c r="O39" s="22"/>
      <c r="P39" s="22">
        <f>SUM(P40:P43)</f>
        <v>0</v>
      </c>
      <c r="Q39" s="41"/>
      <c r="R39" s="49"/>
    </row>
    <row r="40" spans="2:18" x14ac:dyDescent="0.2">
      <c r="B40" s="30"/>
      <c r="C40" s="36"/>
      <c r="D40" t="s">
        <v>60</v>
      </c>
      <c r="L40" s="32"/>
      <c r="M40" s="32"/>
      <c r="N40" s="32"/>
      <c r="O40" s="32"/>
      <c r="P40" s="33">
        <f>N40*M40*L40</f>
        <v>0</v>
      </c>
      <c r="Q40" s="50" t="s">
        <v>18</v>
      </c>
      <c r="R40" s="35" t="b">
        <v>0</v>
      </c>
    </row>
    <row r="41" spans="2:18" x14ac:dyDescent="0.2">
      <c r="B41" s="30"/>
      <c r="C41" s="36"/>
      <c r="D41" t="s">
        <v>61</v>
      </c>
      <c r="L41" s="32"/>
      <c r="M41" s="32"/>
      <c r="N41" s="32"/>
      <c r="O41" s="32"/>
      <c r="P41" s="33">
        <f>N41*M41*L41</f>
        <v>0</v>
      </c>
      <c r="Q41" s="50" t="s">
        <v>18</v>
      </c>
      <c r="R41" s="35" t="b">
        <v>0</v>
      </c>
    </row>
    <row r="42" spans="2:18" x14ac:dyDescent="0.2">
      <c r="B42" s="30"/>
      <c r="C42" s="36"/>
      <c r="D42" t="s">
        <v>62</v>
      </c>
      <c r="L42" s="32"/>
      <c r="M42" s="32"/>
      <c r="N42" s="32"/>
      <c r="O42" s="32"/>
      <c r="P42" s="33">
        <f>N42*M42*L42</f>
        <v>0</v>
      </c>
      <c r="Q42" s="50" t="s">
        <v>18</v>
      </c>
      <c r="R42" s="35" t="b">
        <v>0</v>
      </c>
    </row>
    <row r="43" spans="2:18" x14ac:dyDescent="0.2">
      <c r="B43" s="30"/>
      <c r="C43" s="36"/>
      <c r="D43" t="s">
        <v>63</v>
      </c>
      <c r="L43" s="32">
        <v>0</v>
      </c>
      <c r="M43" s="32"/>
      <c r="N43" s="32"/>
      <c r="O43" s="32"/>
      <c r="P43" s="33">
        <f>N43*M43*L43</f>
        <v>0</v>
      </c>
      <c r="Q43" s="50" t="s">
        <v>18</v>
      </c>
      <c r="R43" s="35" t="b">
        <v>0</v>
      </c>
    </row>
    <row r="44" spans="2:18" x14ac:dyDescent="0.2">
      <c r="B44" s="21">
        <v>6</v>
      </c>
      <c r="C44" s="22" t="s">
        <v>64</v>
      </c>
      <c r="D44" s="23"/>
      <c r="E44" s="23"/>
      <c r="F44" s="23"/>
      <c r="G44" s="23"/>
      <c r="H44" s="23"/>
      <c r="I44" s="23"/>
      <c r="J44" s="23"/>
      <c r="K44" s="23"/>
      <c r="L44" s="39"/>
      <c r="M44" s="26"/>
      <c r="N44" s="26"/>
      <c r="O44" s="26"/>
      <c r="P44" s="48">
        <f>SUM(P45:P56)</f>
        <v>0</v>
      </c>
      <c r="Q44" s="22"/>
      <c r="R44" s="49"/>
    </row>
    <row r="45" spans="2:18" x14ac:dyDescent="0.2">
      <c r="B45" s="30"/>
      <c r="C45" s="36"/>
      <c r="D45" t="s">
        <v>65</v>
      </c>
      <c r="L45" s="32">
        <v>1</v>
      </c>
      <c r="M45" s="32">
        <v>5</v>
      </c>
      <c r="N45" s="32"/>
      <c r="O45" s="32"/>
      <c r="P45" s="33">
        <f>N45*M45*L45</f>
        <v>0</v>
      </c>
      <c r="Q45" s="38" t="s">
        <v>20</v>
      </c>
      <c r="R45" s="35" t="b">
        <v>0</v>
      </c>
    </row>
    <row r="46" spans="2:18" x14ac:dyDescent="0.2">
      <c r="B46" s="30"/>
      <c r="C46" s="36"/>
      <c r="D46" t="s">
        <v>66</v>
      </c>
      <c r="L46" s="32">
        <v>2</v>
      </c>
      <c r="M46" s="32">
        <v>2</v>
      </c>
      <c r="N46" s="32"/>
      <c r="O46" s="32"/>
      <c r="P46" s="33">
        <f t="shared" ref="P46:P69" si="0">N46*M46*L46</f>
        <v>0</v>
      </c>
      <c r="Q46" s="38" t="s">
        <v>20</v>
      </c>
      <c r="R46" s="35" t="b">
        <v>0</v>
      </c>
    </row>
    <row r="47" spans="2:18" x14ac:dyDescent="0.2">
      <c r="B47" s="30"/>
      <c r="C47" s="36"/>
      <c r="D47" t="s">
        <v>67</v>
      </c>
      <c r="L47" s="32"/>
      <c r="M47" s="32"/>
      <c r="N47" s="32"/>
      <c r="O47" s="32"/>
      <c r="P47" s="33">
        <f t="shared" si="0"/>
        <v>0</v>
      </c>
      <c r="Q47" s="38" t="s">
        <v>20</v>
      </c>
      <c r="R47" s="35"/>
    </row>
    <row r="48" spans="2:18" x14ac:dyDescent="0.2">
      <c r="B48" s="30"/>
      <c r="C48" s="36"/>
      <c r="D48" t="s">
        <v>68</v>
      </c>
      <c r="L48" s="32"/>
      <c r="M48" s="32"/>
      <c r="N48" s="32"/>
      <c r="O48" s="32"/>
      <c r="P48" s="33">
        <f t="shared" si="0"/>
        <v>0</v>
      </c>
      <c r="Q48" s="38" t="s">
        <v>20</v>
      </c>
      <c r="R48" s="35" t="b">
        <v>0</v>
      </c>
    </row>
    <row r="49" spans="2:18" x14ac:dyDescent="0.2">
      <c r="B49" s="30"/>
      <c r="C49" s="36"/>
      <c r="D49" s="44" t="s">
        <v>31</v>
      </c>
      <c r="E49" s="44"/>
      <c r="G49">
        <v>1</v>
      </c>
      <c r="H49" t="s">
        <v>32</v>
      </c>
      <c r="L49" s="32">
        <v>2</v>
      </c>
      <c r="M49" s="32">
        <v>6</v>
      </c>
      <c r="N49" s="32"/>
      <c r="O49" s="32"/>
      <c r="P49" s="33">
        <f t="shared" si="0"/>
        <v>0</v>
      </c>
      <c r="Q49" s="38" t="s">
        <v>20</v>
      </c>
      <c r="R49" s="35" t="b">
        <v>0</v>
      </c>
    </row>
    <row r="50" spans="2:18" x14ac:dyDescent="0.2">
      <c r="B50" s="30"/>
      <c r="C50" s="36"/>
      <c r="D50" s="44" t="s">
        <v>33</v>
      </c>
      <c r="E50" s="44"/>
      <c r="G50">
        <v>1</v>
      </c>
      <c r="H50" t="s">
        <v>32</v>
      </c>
      <c r="L50" s="32">
        <v>2</v>
      </c>
      <c r="M50" s="32">
        <v>3</v>
      </c>
      <c r="N50" s="32"/>
      <c r="O50" s="32"/>
      <c r="P50" s="33">
        <f t="shared" si="0"/>
        <v>0</v>
      </c>
      <c r="Q50" s="38" t="s">
        <v>20</v>
      </c>
      <c r="R50" s="35" t="b">
        <v>0</v>
      </c>
    </row>
    <row r="51" spans="2:18" x14ac:dyDescent="0.2">
      <c r="B51" s="30"/>
      <c r="C51" s="36"/>
      <c r="D51" s="45" t="s">
        <v>35</v>
      </c>
      <c r="E51" s="45"/>
      <c r="G51">
        <v>6</v>
      </c>
      <c r="H51" t="s">
        <v>32</v>
      </c>
      <c r="L51" s="32">
        <v>2</v>
      </c>
      <c r="M51" s="32">
        <v>6</v>
      </c>
      <c r="N51" s="32"/>
      <c r="O51" s="32"/>
      <c r="P51" s="33">
        <f t="shared" si="0"/>
        <v>0</v>
      </c>
      <c r="Q51" s="38" t="s">
        <v>20</v>
      </c>
      <c r="R51" s="35" t="b">
        <v>0</v>
      </c>
    </row>
    <row r="52" spans="2:18" x14ac:dyDescent="0.2">
      <c r="B52" s="30"/>
      <c r="C52" s="36"/>
      <c r="D52" s="45" t="s">
        <v>36</v>
      </c>
      <c r="E52" s="45"/>
      <c r="G52" s="46">
        <v>1</v>
      </c>
      <c r="H52" s="46" t="s">
        <v>32</v>
      </c>
      <c r="L52" s="32">
        <v>2</v>
      </c>
      <c r="M52" s="32">
        <v>7</v>
      </c>
      <c r="N52" s="32"/>
      <c r="O52" s="32"/>
      <c r="P52" s="33">
        <f t="shared" si="0"/>
        <v>0</v>
      </c>
      <c r="Q52" s="38" t="s">
        <v>20</v>
      </c>
      <c r="R52" s="35" t="b">
        <v>0</v>
      </c>
    </row>
    <row r="53" spans="2:18" x14ac:dyDescent="0.2">
      <c r="B53" s="30"/>
      <c r="C53" s="36"/>
      <c r="D53" s="45" t="s">
        <v>37</v>
      </c>
      <c r="E53" s="45"/>
      <c r="G53" s="46">
        <v>1</v>
      </c>
      <c r="H53" s="46" t="s">
        <v>32</v>
      </c>
      <c r="L53" s="32">
        <v>2</v>
      </c>
      <c r="M53" s="32">
        <v>5</v>
      </c>
      <c r="N53" s="32"/>
      <c r="O53" s="32"/>
      <c r="P53" s="33">
        <f t="shared" si="0"/>
        <v>0</v>
      </c>
      <c r="Q53" s="38" t="s">
        <v>20</v>
      </c>
      <c r="R53" s="35" t="b">
        <v>0</v>
      </c>
    </row>
    <row r="54" spans="2:18" x14ac:dyDescent="0.2">
      <c r="B54" s="30"/>
      <c r="C54" s="36"/>
      <c r="D54" s="45" t="s">
        <v>38</v>
      </c>
      <c r="E54" s="45"/>
      <c r="G54" s="46">
        <v>1</v>
      </c>
      <c r="H54" s="46" t="s">
        <v>32</v>
      </c>
      <c r="L54" s="32">
        <v>2</v>
      </c>
      <c r="M54" s="32">
        <v>5</v>
      </c>
      <c r="N54" s="32"/>
      <c r="O54" s="32"/>
      <c r="P54" s="33">
        <f t="shared" si="0"/>
        <v>0</v>
      </c>
      <c r="Q54" s="38" t="s">
        <v>20</v>
      </c>
      <c r="R54" s="35" t="b">
        <v>0</v>
      </c>
    </row>
    <row r="55" spans="2:18" x14ac:dyDescent="0.2">
      <c r="B55" s="30"/>
      <c r="C55" s="36"/>
      <c r="D55" s="45" t="s">
        <v>39</v>
      </c>
      <c r="E55" s="45"/>
      <c r="G55" s="46">
        <v>1</v>
      </c>
      <c r="H55" s="46" t="s">
        <v>32</v>
      </c>
      <c r="L55" s="32">
        <v>2</v>
      </c>
      <c r="M55" s="32">
        <v>5</v>
      </c>
      <c r="N55" s="32"/>
      <c r="O55" s="32"/>
      <c r="P55" s="33">
        <f t="shared" si="0"/>
        <v>0</v>
      </c>
      <c r="Q55" s="38" t="s">
        <v>20</v>
      </c>
      <c r="R55" s="35" t="b">
        <v>0</v>
      </c>
    </row>
    <row r="56" spans="2:18" x14ac:dyDescent="0.2">
      <c r="B56" s="30"/>
      <c r="C56" s="36"/>
      <c r="D56" s="44" t="s">
        <v>69</v>
      </c>
      <c r="E56" s="44"/>
      <c r="G56" s="46">
        <v>6</v>
      </c>
      <c r="H56" s="46" t="s">
        <v>32</v>
      </c>
      <c r="L56" s="32">
        <v>2</v>
      </c>
      <c r="M56" s="32">
        <v>5</v>
      </c>
      <c r="N56" s="32"/>
      <c r="O56" s="32"/>
      <c r="P56" s="33">
        <f t="shared" si="0"/>
        <v>0</v>
      </c>
      <c r="Q56" s="38" t="s">
        <v>20</v>
      </c>
      <c r="R56" s="35" t="b">
        <v>0</v>
      </c>
    </row>
    <row r="57" spans="2:18" x14ac:dyDescent="0.2">
      <c r="B57" s="21">
        <v>7</v>
      </c>
      <c r="C57" s="22" t="s">
        <v>70</v>
      </c>
      <c r="D57" s="23"/>
      <c r="E57" s="23"/>
      <c r="F57" s="23"/>
      <c r="G57" s="23"/>
      <c r="H57" s="23"/>
      <c r="I57" s="23"/>
      <c r="J57" s="23"/>
      <c r="K57" s="23"/>
      <c r="L57" s="39"/>
      <c r="M57" s="26"/>
      <c r="N57" s="26"/>
      <c r="O57" s="26"/>
      <c r="P57" s="48">
        <f>SUM(P58:P60)</f>
        <v>0</v>
      </c>
      <c r="Q57" s="22"/>
      <c r="R57" s="49"/>
    </row>
    <row r="58" spans="2:18" x14ac:dyDescent="0.2">
      <c r="B58" s="30"/>
      <c r="C58" s="36"/>
      <c r="D58" t="s">
        <v>71</v>
      </c>
      <c r="L58" s="32">
        <v>2</v>
      </c>
      <c r="M58" s="32">
        <v>10</v>
      </c>
      <c r="N58" s="32"/>
      <c r="O58" s="32"/>
      <c r="P58" s="33">
        <f t="shared" si="0"/>
        <v>0</v>
      </c>
      <c r="Q58" s="38" t="s">
        <v>20</v>
      </c>
      <c r="R58" s="35" t="b">
        <v>0</v>
      </c>
    </row>
    <row r="59" spans="2:18" x14ac:dyDescent="0.2">
      <c r="B59" s="30"/>
      <c r="C59" s="36"/>
      <c r="D59" t="s">
        <v>72</v>
      </c>
      <c r="L59" s="32">
        <v>2</v>
      </c>
      <c r="M59" s="32">
        <v>14</v>
      </c>
      <c r="N59" s="32"/>
      <c r="O59" s="32"/>
      <c r="P59" s="33">
        <f t="shared" si="0"/>
        <v>0</v>
      </c>
      <c r="Q59" s="38" t="s">
        <v>20</v>
      </c>
      <c r="R59" s="35" t="b">
        <v>0</v>
      </c>
    </row>
    <row r="60" spans="2:18" x14ac:dyDescent="0.2">
      <c r="B60" s="30"/>
      <c r="C60" s="36"/>
      <c r="D60" t="s">
        <v>73</v>
      </c>
      <c r="L60" s="32">
        <v>1</v>
      </c>
      <c r="M60" s="32">
        <v>2</v>
      </c>
      <c r="N60" s="32"/>
      <c r="O60" s="32"/>
      <c r="P60" s="33">
        <f t="shared" si="0"/>
        <v>0</v>
      </c>
      <c r="Q60" s="38" t="s">
        <v>20</v>
      </c>
      <c r="R60" s="35" t="b">
        <v>0</v>
      </c>
    </row>
    <row r="61" spans="2:18" x14ac:dyDescent="0.2">
      <c r="B61" s="21">
        <v>8</v>
      </c>
      <c r="C61" s="22" t="s">
        <v>74</v>
      </c>
      <c r="D61" s="23"/>
      <c r="E61" s="23"/>
      <c r="F61" s="23"/>
      <c r="G61" s="23"/>
      <c r="H61" s="23"/>
      <c r="I61" s="23"/>
      <c r="J61" s="23"/>
      <c r="K61" s="23"/>
      <c r="L61" s="39"/>
      <c r="M61" s="26"/>
      <c r="N61" s="26"/>
      <c r="O61" s="26"/>
      <c r="P61" s="48">
        <f>SUM(P62:P67)</f>
        <v>0</v>
      </c>
      <c r="Q61" s="22"/>
      <c r="R61" s="51"/>
    </row>
    <row r="62" spans="2:18" x14ac:dyDescent="0.2">
      <c r="B62" s="52"/>
      <c r="D62" t="s">
        <v>75</v>
      </c>
      <c r="L62" s="32">
        <v>1</v>
      </c>
      <c r="M62" s="32">
        <v>2</v>
      </c>
      <c r="N62" s="32"/>
      <c r="O62" s="32"/>
      <c r="P62" s="33">
        <f t="shared" si="0"/>
        <v>0</v>
      </c>
      <c r="Q62" s="38" t="s">
        <v>20</v>
      </c>
      <c r="R62" s="35" t="b">
        <v>0</v>
      </c>
    </row>
    <row r="63" spans="2:18" x14ac:dyDescent="0.2">
      <c r="B63" s="52"/>
      <c r="D63" t="s">
        <v>76</v>
      </c>
      <c r="L63" s="32">
        <v>1</v>
      </c>
      <c r="M63" s="32">
        <v>2</v>
      </c>
      <c r="N63" s="32"/>
      <c r="O63" s="32"/>
      <c r="P63" s="33">
        <f t="shared" si="0"/>
        <v>0</v>
      </c>
      <c r="Q63" s="38" t="s">
        <v>20</v>
      </c>
      <c r="R63" s="35" t="b">
        <v>0</v>
      </c>
    </row>
    <row r="64" spans="2:18" x14ac:dyDescent="0.2">
      <c r="B64" s="52"/>
      <c r="D64" t="s">
        <v>74</v>
      </c>
      <c r="L64" s="32">
        <v>1</v>
      </c>
      <c r="M64" s="32">
        <v>4</v>
      </c>
      <c r="N64" s="32"/>
      <c r="O64" s="32"/>
      <c r="P64" s="33">
        <f t="shared" si="0"/>
        <v>0</v>
      </c>
      <c r="Q64" s="38" t="s">
        <v>20</v>
      </c>
      <c r="R64" s="35" t="b">
        <v>0</v>
      </c>
    </row>
    <row r="65" spans="2:18" x14ac:dyDescent="0.2">
      <c r="B65" s="52"/>
      <c r="D65" t="s">
        <v>77</v>
      </c>
      <c r="L65" s="32">
        <v>1</v>
      </c>
      <c r="M65" s="32"/>
      <c r="N65" s="32"/>
      <c r="O65" s="32"/>
      <c r="P65" s="33">
        <f t="shared" si="0"/>
        <v>0</v>
      </c>
      <c r="Q65" s="38" t="s">
        <v>20</v>
      </c>
      <c r="R65" s="35" t="b">
        <v>0</v>
      </c>
    </row>
    <row r="66" spans="2:18" x14ac:dyDescent="0.2">
      <c r="B66" s="52"/>
      <c r="D66" t="s">
        <v>78</v>
      </c>
      <c r="L66" s="32">
        <v>1</v>
      </c>
      <c r="M66" s="32">
        <v>2</v>
      </c>
      <c r="N66" s="32"/>
      <c r="O66" s="32"/>
      <c r="P66" s="33">
        <f t="shared" si="0"/>
        <v>0</v>
      </c>
      <c r="Q66" s="38" t="s">
        <v>20</v>
      </c>
      <c r="R66" s="35" t="b">
        <v>0</v>
      </c>
    </row>
    <row r="67" spans="2:18" x14ac:dyDescent="0.2">
      <c r="B67" s="52"/>
      <c r="D67" t="s">
        <v>79</v>
      </c>
      <c r="L67" s="32">
        <v>1</v>
      </c>
      <c r="M67" s="32"/>
      <c r="N67" s="32"/>
      <c r="O67" s="32"/>
      <c r="P67" s="33">
        <f t="shared" si="0"/>
        <v>0</v>
      </c>
      <c r="Q67" s="38" t="s">
        <v>20</v>
      </c>
      <c r="R67" s="35" t="b">
        <v>0</v>
      </c>
    </row>
    <row r="68" spans="2:18" x14ac:dyDescent="0.2">
      <c r="B68" s="53">
        <v>9</v>
      </c>
      <c r="C68" s="54" t="s">
        <v>80</v>
      </c>
      <c r="D68" s="55"/>
      <c r="E68" s="55"/>
      <c r="F68" s="55"/>
      <c r="G68" s="55"/>
      <c r="H68" s="55"/>
      <c r="I68" s="55"/>
      <c r="J68" s="55"/>
      <c r="K68" s="55"/>
      <c r="L68" s="56"/>
      <c r="M68" s="55"/>
      <c r="N68" s="55"/>
      <c r="O68" s="26"/>
      <c r="P68" s="48">
        <f>SUM(P69)</f>
        <v>0</v>
      </c>
      <c r="Q68" s="55"/>
      <c r="R68" s="57"/>
    </row>
    <row r="69" spans="2:18" ht="38.25" x14ac:dyDescent="0.2">
      <c r="B69" s="30"/>
      <c r="C69" s="36"/>
      <c r="D69" s="58" t="s">
        <v>81</v>
      </c>
      <c r="E69" s="58"/>
      <c r="F69" s="58"/>
      <c r="G69" s="58"/>
      <c r="H69" s="58"/>
      <c r="L69" s="59">
        <v>1</v>
      </c>
      <c r="M69" s="59">
        <v>4</v>
      </c>
      <c r="N69" s="59"/>
      <c r="O69" s="59"/>
      <c r="P69" s="64">
        <f t="shared" si="0"/>
        <v>0</v>
      </c>
      <c r="Q69" s="92" t="s">
        <v>20</v>
      </c>
      <c r="R69" s="35" t="b">
        <v>0</v>
      </c>
    </row>
    <row r="70" spans="2:18" x14ac:dyDescent="0.2">
      <c r="B70" s="52"/>
      <c r="D70" t="s">
        <v>82</v>
      </c>
      <c r="L70" s="32">
        <v>1</v>
      </c>
      <c r="M70" s="32">
        <v>2</v>
      </c>
      <c r="N70" s="32"/>
      <c r="O70" s="32"/>
      <c r="P70" s="33">
        <v>0</v>
      </c>
      <c r="Q70" s="38" t="s">
        <v>20</v>
      </c>
      <c r="R70" s="35" t="b">
        <v>0</v>
      </c>
    </row>
    <row r="71" spans="2:18" x14ac:dyDescent="0.2">
      <c r="B71" s="60" t="s">
        <v>83</v>
      </c>
      <c r="C71" s="23"/>
      <c r="D71" s="23"/>
      <c r="E71" s="23"/>
      <c r="F71" s="23"/>
      <c r="G71" s="23"/>
      <c r="H71" s="23"/>
      <c r="I71" s="23"/>
      <c r="J71" s="23"/>
      <c r="K71" s="23"/>
      <c r="L71" s="26" t="s">
        <v>84</v>
      </c>
      <c r="M71" s="26"/>
      <c r="N71" s="26"/>
      <c r="O71" s="26"/>
      <c r="P71" s="48">
        <f>P61+P57+P44+P39+P33+P27+P11+P3+P68</f>
        <v>0</v>
      </c>
      <c r="Q71" s="22"/>
      <c r="R71" s="55"/>
    </row>
    <row r="72" spans="2:18" x14ac:dyDescent="0.2">
      <c r="B72" s="52"/>
      <c r="C72" s="103" t="s">
        <v>85</v>
      </c>
      <c r="D72" s="103"/>
      <c r="E72" s="61"/>
      <c r="F72" s="61"/>
      <c r="G72" s="61"/>
      <c r="H72" s="61"/>
      <c r="I72" s="62"/>
      <c r="J72" s="62"/>
      <c r="K72" s="62"/>
      <c r="L72" s="52"/>
      <c r="M72" s="52"/>
      <c r="N72" s="52"/>
      <c r="O72" s="52"/>
      <c r="R72" s="63"/>
    </row>
    <row r="73" spans="2:18" x14ac:dyDescent="0.2">
      <c r="B73" s="52"/>
      <c r="C73" s="103"/>
      <c r="D73" s="103"/>
      <c r="E73" s="61"/>
      <c r="F73" s="61"/>
      <c r="G73" s="61"/>
      <c r="H73" s="61"/>
      <c r="L73" s="52"/>
      <c r="M73" s="52"/>
      <c r="N73" s="52"/>
      <c r="O73" s="52"/>
      <c r="R73" s="63"/>
    </row>
  </sheetData>
  <mergeCells count="8">
    <mergeCell ref="D8:F8"/>
    <mergeCell ref="C72:D73"/>
    <mergeCell ref="B1:C1"/>
    <mergeCell ref="H2:I2"/>
    <mergeCell ref="D4:F4"/>
    <mergeCell ref="D5:F5"/>
    <mergeCell ref="D6:F6"/>
    <mergeCell ref="D7:F7"/>
  </mergeCells>
  <conditionalFormatting sqref="F1">
    <cfRule type="expression" dxfId="11" priority="2">
      <formula>#REF!&gt;15</formula>
    </cfRule>
  </conditionalFormatting>
  <conditionalFormatting sqref="H1">
    <cfRule type="expression" dxfId="10" priority="1">
      <formula>#REF!&gt;$O$3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6A18-AF1A-4805-B370-335861E77F53}">
  <dimension ref="B1:R73"/>
  <sheetViews>
    <sheetView topLeftCell="A69" workbookViewId="0">
      <selection activeCell="R1" sqref="R1"/>
    </sheetView>
  </sheetViews>
  <sheetFormatPr defaultRowHeight="12.75" x14ac:dyDescent="0.2"/>
  <cols>
    <col min="1" max="1" width="1" customWidth="1"/>
    <col min="7" max="7" width="11.85546875" customWidth="1"/>
  </cols>
  <sheetData>
    <row r="1" spans="2:18" ht="53.45" customHeight="1" thickBot="1" x14ac:dyDescent="0.25">
      <c r="B1" s="104" t="s">
        <v>108</v>
      </c>
      <c r="C1" s="105"/>
      <c r="D1" s="1" t="s">
        <v>89</v>
      </c>
      <c r="E1" s="2" t="s">
        <v>0</v>
      </c>
      <c r="F1" s="3"/>
      <c r="G1" s="4" t="s">
        <v>1</v>
      </c>
      <c r="H1" s="5">
        <f>SUM(O4:O70)</f>
        <v>0</v>
      </c>
      <c r="I1" s="4" t="s">
        <v>2</v>
      </c>
      <c r="J1" s="6">
        <f>SUM(P71-H1)</f>
        <v>0</v>
      </c>
      <c r="K1" s="7" t="s">
        <v>3</v>
      </c>
      <c r="L1" s="8">
        <f>(COUNTA(O4:O32)/COUNTA(D4:D32))*100%</f>
        <v>0</v>
      </c>
      <c r="M1" s="7" t="s">
        <v>4</v>
      </c>
      <c r="N1" s="9">
        <f>(COUNTA(N45:N70)/COUNTA(D45:D70))*100%</f>
        <v>0</v>
      </c>
      <c r="O1" s="10" t="s">
        <v>5</v>
      </c>
      <c r="P1" s="11">
        <f>(COUNTA(N34:N43)/COUNTA(D34:D43))*100%</f>
        <v>0</v>
      </c>
      <c r="Q1" s="12" t="s">
        <v>6</v>
      </c>
      <c r="R1" s="13"/>
    </row>
    <row r="2" spans="2:18" ht="63.75" x14ac:dyDescent="0.2">
      <c r="B2" s="15" t="s">
        <v>7</v>
      </c>
      <c r="C2" s="15"/>
      <c r="D2" s="15"/>
      <c r="E2" s="15"/>
      <c r="F2" s="15"/>
      <c r="G2" s="16" t="s">
        <v>8</v>
      </c>
      <c r="H2" s="106"/>
      <c r="I2" s="107"/>
      <c r="J2" s="17"/>
      <c r="K2" s="17"/>
      <c r="L2" s="18" t="s">
        <v>9</v>
      </c>
      <c r="M2" s="19" t="s">
        <v>10</v>
      </c>
      <c r="N2" s="18" t="s">
        <v>11</v>
      </c>
      <c r="O2" s="19" t="s">
        <v>12</v>
      </c>
      <c r="P2" s="18" t="s">
        <v>13</v>
      </c>
      <c r="Q2" s="20" t="s">
        <v>14</v>
      </c>
      <c r="R2" s="20" t="s">
        <v>15</v>
      </c>
    </row>
    <row r="3" spans="2:18" x14ac:dyDescent="0.2">
      <c r="B3" s="21">
        <v>1</v>
      </c>
      <c r="C3" s="22" t="s">
        <v>16</v>
      </c>
      <c r="D3" s="23"/>
      <c r="E3" s="23"/>
      <c r="F3" s="23"/>
      <c r="G3" s="23"/>
      <c r="H3" s="23"/>
      <c r="I3" s="23"/>
      <c r="J3" s="23"/>
      <c r="K3" s="23"/>
      <c r="L3" s="24"/>
      <c r="M3" s="25"/>
      <c r="N3" s="25"/>
      <c r="O3" s="26"/>
      <c r="P3" s="27">
        <f>SUM(P4:P10)</f>
        <v>0</v>
      </c>
      <c r="Q3" s="28"/>
      <c r="R3" s="29"/>
    </row>
    <row r="4" spans="2:18" x14ac:dyDescent="0.2">
      <c r="B4" s="30"/>
      <c r="C4" s="31"/>
      <c r="D4" s="102" t="s">
        <v>17</v>
      </c>
      <c r="E4" s="102"/>
      <c r="F4" s="102"/>
      <c r="L4" s="32"/>
      <c r="M4" s="32"/>
      <c r="N4" s="32"/>
      <c r="O4" s="32"/>
      <c r="P4" s="33">
        <f>N4*M4*L4</f>
        <v>0</v>
      </c>
      <c r="Q4" s="34" t="s">
        <v>18</v>
      </c>
      <c r="R4" s="35" t="b">
        <v>0</v>
      </c>
    </row>
    <row r="5" spans="2:18" x14ac:dyDescent="0.2">
      <c r="B5" s="30"/>
      <c r="C5" s="36"/>
      <c r="D5" s="102" t="s">
        <v>19</v>
      </c>
      <c r="E5" s="102"/>
      <c r="F5" s="102"/>
      <c r="L5" s="32">
        <v>1</v>
      </c>
      <c r="M5" s="32">
        <v>1</v>
      </c>
      <c r="N5" s="37"/>
      <c r="O5" s="32"/>
      <c r="P5" s="33">
        <f t="shared" ref="P5:P10" si="0">N5*M5*L5</f>
        <v>0</v>
      </c>
      <c r="Q5" s="38" t="s">
        <v>20</v>
      </c>
      <c r="R5" s="35" t="b">
        <v>0</v>
      </c>
    </row>
    <row r="6" spans="2:18" x14ac:dyDescent="0.2">
      <c r="B6" s="30"/>
      <c r="C6" s="36"/>
      <c r="D6" s="102" t="s">
        <v>21</v>
      </c>
      <c r="E6" s="102"/>
      <c r="F6" s="102"/>
      <c r="L6" s="32">
        <v>1</v>
      </c>
      <c r="M6" s="32">
        <v>2</v>
      </c>
      <c r="N6" s="37"/>
      <c r="O6" s="32"/>
      <c r="P6" s="33">
        <f t="shared" si="0"/>
        <v>0</v>
      </c>
      <c r="Q6" s="38" t="s">
        <v>20</v>
      </c>
      <c r="R6" s="35" t="b">
        <v>0</v>
      </c>
    </row>
    <row r="7" spans="2:18" x14ac:dyDescent="0.2">
      <c r="B7" s="30"/>
      <c r="C7" s="36"/>
      <c r="D7" s="102" t="s">
        <v>22</v>
      </c>
      <c r="E7" s="102"/>
      <c r="F7" s="102"/>
      <c r="L7" s="32">
        <v>1</v>
      </c>
      <c r="M7" s="32">
        <v>2</v>
      </c>
      <c r="N7" s="37"/>
      <c r="O7" s="32"/>
      <c r="P7" s="33">
        <f t="shared" si="0"/>
        <v>0</v>
      </c>
      <c r="Q7" s="38" t="s">
        <v>20</v>
      </c>
      <c r="R7" s="35" t="b">
        <v>0</v>
      </c>
    </row>
    <row r="8" spans="2:18" x14ac:dyDescent="0.2">
      <c r="B8" s="30"/>
      <c r="C8" s="31"/>
      <c r="D8" s="102" t="s">
        <v>23</v>
      </c>
      <c r="E8" s="102"/>
      <c r="F8" s="102"/>
      <c r="L8" s="32"/>
      <c r="M8" s="32"/>
      <c r="N8" s="37"/>
      <c r="O8" s="32"/>
      <c r="P8" s="33">
        <f t="shared" si="0"/>
        <v>0</v>
      </c>
      <c r="Q8" s="34" t="s">
        <v>18</v>
      </c>
      <c r="R8" s="35" t="b">
        <v>0</v>
      </c>
    </row>
    <row r="9" spans="2:18" x14ac:dyDescent="0.2">
      <c r="B9" s="30"/>
      <c r="C9" s="36"/>
      <c r="D9" t="s">
        <v>25</v>
      </c>
      <c r="L9" s="32"/>
      <c r="M9" s="32"/>
      <c r="N9" s="37"/>
      <c r="O9" s="32"/>
      <c r="P9" s="33">
        <f t="shared" si="0"/>
        <v>0</v>
      </c>
      <c r="Q9" s="38" t="s">
        <v>20</v>
      </c>
      <c r="R9" s="35" t="b">
        <v>0</v>
      </c>
    </row>
    <row r="10" spans="2:18" x14ac:dyDescent="0.2">
      <c r="B10" s="30"/>
      <c r="C10" s="36"/>
      <c r="D10" t="s">
        <v>26</v>
      </c>
      <c r="L10" s="32">
        <v>1</v>
      </c>
      <c r="M10" s="32">
        <v>6</v>
      </c>
      <c r="N10" s="37"/>
      <c r="O10" s="32"/>
      <c r="P10" s="33">
        <f t="shared" si="0"/>
        <v>0</v>
      </c>
      <c r="Q10" s="38" t="s">
        <v>20</v>
      </c>
      <c r="R10" s="35" t="b">
        <v>0</v>
      </c>
    </row>
    <row r="11" spans="2:18" x14ac:dyDescent="0.2">
      <c r="B11" s="21">
        <v>2</v>
      </c>
      <c r="C11" s="22" t="s">
        <v>27</v>
      </c>
      <c r="D11" s="23"/>
      <c r="E11" s="23"/>
      <c r="F11" s="23"/>
      <c r="G11" s="23"/>
      <c r="H11" s="23"/>
      <c r="I11" s="23"/>
      <c r="J11" s="23"/>
      <c r="K11" s="23"/>
      <c r="L11" s="39"/>
      <c r="M11" s="26"/>
      <c r="N11" s="26"/>
      <c r="O11" s="26"/>
      <c r="P11" s="40">
        <f>SUM(P12:P26)</f>
        <v>0</v>
      </c>
      <c r="Q11" s="41"/>
      <c r="R11" s="42"/>
    </row>
    <row r="12" spans="2:18" x14ac:dyDescent="0.2">
      <c r="B12" s="30"/>
      <c r="C12" s="43"/>
      <c r="D12" t="s">
        <v>28</v>
      </c>
      <c r="L12" s="32">
        <v>1</v>
      </c>
      <c r="M12" s="32">
        <v>1</v>
      </c>
      <c r="N12" s="32"/>
      <c r="O12" s="32"/>
      <c r="P12" s="33">
        <v>0</v>
      </c>
      <c r="Q12" s="38" t="s">
        <v>20</v>
      </c>
      <c r="R12" s="35" t="b">
        <v>0</v>
      </c>
    </row>
    <row r="13" spans="2:18" x14ac:dyDescent="0.2">
      <c r="B13" s="30"/>
      <c r="C13" s="36"/>
      <c r="D13" t="s">
        <v>29</v>
      </c>
      <c r="L13" s="32">
        <v>2</v>
      </c>
      <c r="M13" s="32">
        <v>47</v>
      </c>
      <c r="N13" s="37"/>
      <c r="O13" s="32"/>
      <c r="P13" s="33">
        <v>0</v>
      </c>
      <c r="Q13" s="38" t="s">
        <v>20</v>
      </c>
      <c r="R13" s="35" t="b">
        <v>0</v>
      </c>
    </row>
    <row r="14" spans="2:18" x14ac:dyDescent="0.2">
      <c r="B14" s="30"/>
      <c r="C14" s="36"/>
      <c r="D14" t="s">
        <v>30</v>
      </c>
      <c r="L14" s="32"/>
      <c r="M14" s="32"/>
      <c r="N14" s="32"/>
      <c r="O14" s="32"/>
      <c r="P14" s="33">
        <v>0</v>
      </c>
      <c r="Q14" s="38" t="s">
        <v>20</v>
      </c>
      <c r="R14" s="35" t="b">
        <v>0</v>
      </c>
    </row>
    <row r="15" spans="2:18" x14ac:dyDescent="0.2">
      <c r="B15" s="30"/>
      <c r="C15" s="36"/>
      <c r="D15" s="44" t="s">
        <v>31</v>
      </c>
      <c r="E15" s="44"/>
      <c r="G15">
        <v>1</v>
      </c>
      <c r="H15" t="s">
        <v>32</v>
      </c>
      <c r="L15" s="32">
        <v>2</v>
      </c>
      <c r="M15" s="32">
        <v>6</v>
      </c>
      <c r="N15" s="32"/>
      <c r="O15" s="32"/>
      <c r="P15" s="33">
        <v>0</v>
      </c>
      <c r="Q15" s="38" t="s">
        <v>20</v>
      </c>
      <c r="R15" s="35" t="b">
        <v>0</v>
      </c>
    </row>
    <row r="16" spans="2:18" x14ac:dyDescent="0.2">
      <c r="B16" s="30"/>
      <c r="C16" s="36"/>
      <c r="D16" s="44" t="s">
        <v>33</v>
      </c>
      <c r="E16" s="44"/>
      <c r="G16">
        <v>2</v>
      </c>
      <c r="H16" t="s">
        <v>32</v>
      </c>
      <c r="L16" s="32">
        <v>2</v>
      </c>
      <c r="M16" s="32">
        <v>2</v>
      </c>
      <c r="N16" s="32"/>
      <c r="O16" s="32"/>
      <c r="P16" s="33">
        <v>0</v>
      </c>
      <c r="Q16" s="38" t="s">
        <v>20</v>
      </c>
      <c r="R16" s="35" t="b">
        <v>0</v>
      </c>
    </row>
    <row r="17" spans="2:18" x14ac:dyDescent="0.2">
      <c r="B17" s="30"/>
      <c r="C17" s="36"/>
      <c r="D17" s="44" t="s">
        <v>34</v>
      </c>
      <c r="E17" s="44"/>
      <c r="G17">
        <v>1</v>
      </c>
      <c r="H17" t="s">
        <v>32</v>
      </c>
      <c r="L17" s="32">
        <v>2</v>
      </c>
      <c r="M17" s="32">
        <v>8</v>
      </c>
      <c r="N17" s="32"/>
      <c r="O17" s="32"/>
      <c r="P17" s="33">
        <v>0</v>
      </c>
      <c r="Q17" s="38" t="s">
        <v>20</v>
      </c>
      <c r="R17" s="35" t="b">
        <v>0</v>
      </c>
    </row>
    <row r="18" spans="2:18" x14ac:dyDescent="0.2">
      <c r="B18" s="30"/>
      <c r="C18" s="36"/>
      <c r="D18" s="45" t="s">
        <v>35</v>
      </c>
      <c r="E18" s="45"/>
      <c r="G18">
        <v>12</v>
      </c>
      <c r="H18" t="s">
        <v>32</v>
      </c>
      <c r="L18" s="32">
        <v>2</v>
      </c>
      <c r="M18" s="32">
        <v>5</v>
      </c>
      <c r="N18" s="32"/>
      <c r="O18" s="32"/>
      <c r="P18" s="33">
        <v>0</v>
      </c>
      <c r="Q18" s="38" t="s">
        <v>20</v>
      </c>
      <c r="R18" s="35" t="b">
        <v>0</v>
      </c>
    </row>
    <row r="19" spans="2:18" x14ac:dyDescent="0.2">
      <c r="B19" s="30"/>
      <c r="C19" s="36"/>
      <c r="D19" s="45" t="s">
        <v>36</v>
      </c>
      <c r="E19" s="45"/>
      <c r="G19" s="46">
        <v>2</v>
      </c>
      <c r="H19" s="46" t="s">
        <v>32</v>
      </c>
      <c r="L19" s="32">
        <v>2</v>
      </c>
      <c r="M19" s="32">
        <v>12</v>
      </c>
      <c r="N19" s="37"/>
      <c r="O19" s="32"/>
      <c r="P19" s="33">
        <v>0</v>
      </c>
      <c r="Q19" s="38" t="s">
        <v>20</v>
      </c>
      <c r="R19" s="35" t="b">
        <v>0</v>
      </c>
    </row>
    <row r="20" spans="2:18" x14ac:dyDescent="0.2">
      <c r="B20" s="30"/>
      <c r="C20" s="36"/>
      <c r="D20" s="45" t="s">
        <v>37</v>
      </c>
      <c r="E20" s="45"/>
      <c r="G20" s="46">
        <v>2</v>
      </c>
      <c r="H20" s="46" t="s">
        <v>32</v>
      </c>
      <c r="L20" s="32">
        <v>1</v>
      </c>
      <c r="M20" s="32">
        <v>2</v>
      </c>
      <c r="N20" s="37"/>
      <c r="O20" s="32"/>
      <c r="P20" s="33">
        <v>0</v>
      </c>
      <c r="Q20" s="38" t="s">
        <v>20</v>
      </c>
      <c r="R20" s="35" t="b">
        <v>0</v>
      </c>
    </row>
    <row r="21" spans="2:18" x14ac:dyDescent="0.2">
      <c r="B21" s="30"/>
      <c r="C21" s="36"/>
      <c r="D21" s="45" t="s">
        <v>38</v>
      </c>
      <c r="E21" s="45"/>
      <c r="G21" s="46">
        <v>1</v>
      </c>
      <c r="H21" s="46" t="s">
        <v>32</v>
      </c>
      <c r="L21" s="32">
        <v>1</v>
      </c>
      <c r="M21" s="32">
        <v>2</v>
      </c>
      <c r="N21" s="37"/>
      <c r="O21" s="32"/>
      <c r="P21" s="33">
        <v>0</v>
      </c>
      <c r="Q21" s="38" t="s">
        <v>20</v>
      </c>
      <c r="R21" s="35" t="b">
        <v>0</v>
      </c>
    </row>
    <row r="22" spans="2:18" x14ac:dyDescent="0.2">
      <c r="B22" s="30"/>
      <c r="C22" s="36"/>
      <c r="D22" s="45" t="s">
        <v>39</v>
      </c>
      <c r="E22" s="45"/>
      <c r="G22" s="46">
        <v>1</v>
      </c>
      <c r="H22" s="46" t="s">
        <v>32</v>
      </c>
      <c r="L22" s="32">
        <v>2</v>
      </c>
      <c r="M22" s="32">
        <v>2</v>
      </c>
      <c r="N22" s="32"/>
      <c r="O22" s="32"/>
      <c r="P22" s="33">
        <v>0</v>
      </c>
      <c r="Q22" s="38" t="s">
        <v>20</v>
      </c>
      <c r="R22" s="35" t="b">
        <v>0</v>
      </c>
    </row>
    <row r="23" spans="2:18" x14ac:dyDescent="0.2">
      <c r="B23" s="30"/>
      <c r="C23" s="36"/>
      <c r="D23" s="45" t="s">
        <v>109</v>
      </c>
      <c r="E23" s="45"/>
      <c r="G23" s="46">
        <v>1</v>
      </c>
      <c r="H23" s="46" t="s">
        <v>32</v>
      </c>
      <c r="L23" s="32">
        <v>2</v>
      </c>
      <c r="M23" s="32">
        <v>2</v>
      </c>
      <c r="N23" s="32"/>
      <c r="O23" s="32"/>
      <c r="P23" s="33">
        <v>0</v>
      </c>
      <c r="Q23" s="38" t="s">
        <v>20</v>
      </c>
      <c r="R23" s="35" t="b">
        <v>0</v>
      </c>
    </row>
    <row r="24" spans="2:18" x14ac:dyDescent="0.2">
      <c r="B24" s="30"/>
      <c r="C24" s="36"/>
      <c r="D24" s="44" t="s">
        <v>95</v>
      </c>
      <c r="E24" s="44"/>
      <c r="G24" s="46">
        <v>12</v>
      </c>
      <c r="H24" s="46" t="s">
        <v>32</v>
      </c>
      <c r="L24" s="32">
        <v>2</v>
      </c>
      <c r="M24" s="32">
        <v>2</v>
      </c>
      <c r="N24" s="37"/>
      <c r="O24" s="32"/>
      <c r="P24" s="33">
        <v>0</v>
      </c>
      <c r="Q24" s="38" t="s">
        <v>20</v>
      </c>
      <c r="R24" s="35" t="b">
        <v>0</v>
      </c>
    </row>
    <row r="25" spans="2:18" x14ac:dyDescent="0.2">
      <c r="B25" s="30"/>
      <c r="C25" s="36"/>
      <c r="D25" t="s">
        <v>42</v>
      </c>
      <c r="L25" s="32">
        <v>2</v>
      </c>
      <c r="M25" s="32">
        <v>10</v>
      </c>
      <c r="N25" s="37"/>
      <c r="O25" s="32"/>
      <c r="P25" s="33">
        <v>0</v>
      </c>
      <c r="Q25" s="38" t="s">
        <v>20</v>
      </c>
      <c r="R25" s="35" t="b">
        <v>0</v>
      </c>
    </row>
    <row r="26" spans="2:18" x14ac:dyDescent="0.2">
      <c r="B26" s="30"/>
      <c r="C26" s="36"/>
      <c r="D26" t="s">
        <v>43</v>
      </c>
      <c r="L26" s="32">
        <v>1</v>
      </c>
      <c r="M26" s="32">
        <v>4</v>
      </c>
      <c r="N26" s="32"/>
      <c r="O26" s="32"/>
      <c r="P26" s="33">
        <v>0</v>
      </c>
      <c r="Q26" s="38" t="s">
        <v>20</v>
      </c>
      <c r="R26" s="35" t="b">
        <v>0</v>
      </c>
    </row>
    <row r="27" spans="2:18" x14ac:dyDescent="0.2">
      <c r="B27" s="21">
        <v>3</v>
      </c>
      <c r="C27" s="22" t="s">
        <v>44</v>
      </c>
      <c r="D27" s="23"/>
      <c r="E27" s="23"/>
      <c r="F27" s="23"/>
      <c r="G27" s="23"/>
      <c r="H27" s="23"/>
      <c r="I27" s="23"/>
      <c r="J27" s="23"/>
      <c r="K27" s="23"/>
      <c r="L27" s="39"/>
      <c r="M27" s="26"/>
      <c r="N27" s="26"/>
      <c r="O27" s="26"/>
      <c r="P27" s="48">
        <f>SUM(P28:P32)</f>
        <v>0</v>
      </c>
      <c r="Q27" s="41"/>
      <c r="R27" s="35" t="b">
        <v>0</v>
      </c>
    </row>
    <row r="28" spans="2:18" x14ac:dyDescent="0.2">
      <c r="B28" s="30"/>
      <c r="C28" s="36"/>
      <c r="D28" t="s">
        <v>45</v>
      </c>
      <c r="L28" s="32">
        <v>1</v>
      </c>
      <c r="M28" s="32">
        <v>5</v>
      </c>
      <c r="N28" s="32"/>
      <c r="O28" s="32"/>
      <c r="P28" s="33">
        <f t="shared" ref="P28:P31" si="1">N28*M28*L28</f>
        <v>0</v>
      </c>
      <c r="Q28" s="38" t="s">
        <v>20</v>
      </c>
      <c r="R28" s="35" t="b">
        <v>0</v>
      </c>
    </row>
    <row r="29" spans="2:18" x14ac:dyDescent="0.2">
      <c r="B29" s="30"/>
      <c r="C29" s="36"/>
      <c r="D29" s="46" t="s">
        <v>46</v>
      </c>
      <c r="L29" s="32">
        <v>2</v>
      </c>
      <c r="M29" s="32">
        <v>5</v>
      </c>
      <c r="N29" s="32"/>
      <c r="O29" s="32"/>
      <c r="P29" s="33">
        <f t="shared" si="1"/>
        <v>0</v>
      </c>
      <c r="Q29" s="38" t="s">
        <v>20</v>
      </c>
      <c r="R29" s="35" t="b">
        <v>0</v>
      </c>
    </row>
    <row r="30" spans="2:18" x14ac:dyDescent="0.2">
      <c r="B30" s="30"/>
      <c r="C30" s="36"/>
      <c r="D30" t="s">
        <v>47</v>
      </c>
      <c r="L30" s="32">
        <v>1</v>
      </c>
      <c r="M30" s="32">
        <v>4</v>
      </c>
      <c r="N30" s="32"/>
      <c r="O30" s="32"/>
      <c r="P30" s="33">
        <f t="shared" si="1"/>
        <v>0</v>
      </c>
      <c r="Q30" s="38" t="s">
        <v>20</v>
      </c>
      <c r="R30" s="35" t="b">
        <v>0</v>
      </c>
    </row>
    <row r="31" spans="2:18" x14ac:dyDescent="0.2">
      <c r="B31" s="30"/>
      <c r="C31" s="36"/>
      <c r="D31" t="s">
        <v>48</v>
      </c>
      <c r="L31" s="32">
        <v>1</v>
      </c>
      <c r="M31" s="32">
        <v>8</v>
      </c>
      <c r="N31" s="32"/>
      <c r="O31" s="32"/>
      <c r="P31" s="33">
        <f t="shared" si="1"/>
        <v>0</v>
      </c>
      <c r="Q31" s="38" t="s">
        <v>20</v>
      </c>
      <c r="R31" s="35" t="b">
        <v>0</v>
      </c>
    </row>
    <row r="32" spans="2:18" x14ac:dyDescent="0.2">
      <c r="B32" s="30"/>
      <c r="C32" s="36"/>
      <c r="D32" t="s">
        <v>49</v>
      </c>
      <c r="L32" s="32"/>
      <c r="M32" s="32"/>
      <c r="N32" s="32"/>
      <c r="O32" s="32"/>
      <c r="P32" s="33">
        <f>N32*M32*L32</f>
        <v>0</v>
      </c>
      <c r="Q32" s="34" t="s">
        <v>18</v>
      </c>
      <c r="R32" s="35" t="b">
        <v>0</v>
      </c>
    </row>
    <row r="33" spans="2:18" x14ac:dyDescent="0.2">
      <c r="B33" s="21">
        <v>4</v>
      </c>
      <c r="C33" s="22" t="s">
        <v>50</v>
      </c>
      <c r="D33" s="23"/>
      <c r="E33" s="23"/>
      <c r="F33" s="23"/>
      <c r="G33" s="23"/>
      <c r="H33" s="23"/>
      <c r="I33" s="23"/>
      <c r="J33" s="23"/>
      <c r="K33" s="23"/>
      <c r="L33" s="39"/>
      <c r="M33" s="26"/>
      <c r="N33" s="26"/>
      <c r="O33" s="22"/>
      <c r="P33" s="22">
        <f>SUM(P34:P38)</f>
        <v>0</v>
      </c>
      <c r="Q33" s="41"/>
      <c r="R33" s="49"/>
    </row>
    <row r="34" spans="2:18" x14ac:dyDescent="0.2">
      <c r="B34" s="30"/>
      <c r="C34" s="36"/>
      <c r="D34" t="s">
        <v>51</v>
      </c>
      <c r="L34" s="32"/>
      <c r="M34" s="32"/>
      <c r="N34" s="32"/>
      <c r="O34" s="32"/>
      <c r="P34" s="33">
        <f>N34*M34*L34</f>
        <v>0</v>
      </c>
      <c r="Q34" s="34" t="s">
        <v>52</v>
      </c>
      <c r="R34" s="35" t="b">
        <v>0</v>
      </c>
    </row>
    <row r="35" spans="2:18" x14ac:dyDescent="0.2">
      <c r="B35" s="30"/>
      <c r="C35" s="36"/>
      <c r="D35" t="s">
        <v>53</v>
      </c>
      <c r="L35" s="32"/>
      <c r="M35" s="32"/>
      <c r="N35" s="32"/>
      <c r="O35" s="32"/>
      <c r="P35" s="33">
        <f>N35*M35*L35</f>
        <v>0</v>
      </c>
      <c r="Q35" s="34" t="s">
        <v>52</v>
      </c>
      <c r="R35" s="35" t="b">
        <v>0</v>
      </c>
    </row>
    <row r="36" spans="2:18" x14ac:dyDescent="0.2">
      <c r="B36" s="30"/>
      <c r="C36" s="36"/>
      <c r="D36" t="s">
        <v>54</v>
      </c>
      <c r="L36" s="32"/>
      <c r="M36" s="32"/>
      <c r="N36" s="32"/>
      <c r="O36" s="32"/>
      <c r="P36" s="33">
        <f>N36*M36*L36</f>
        <v>0</v>
      </c>
      <c r="Q36" s="34" t="s">
        <v>55</v>
      </c>
      <c r="R36" s="35" t="b">
        <v>0</v>
      </c>
    </row>
    <row r="37" spans="2:18" x14ac:dyDescent="0.2">
      <c r="B37" s="30"/>
      <c r="C37" s="36"/>
      <c r="D37" t="s">
        <v>56</v>
      </c>
      <c r="L37" s="32"/>
      <c r="M37" s="32"/>
      <c r="N37" s="32"/>
      <c r="O37" s="32"/>
      <c r="P37" s="33">
        <f>N37*M37*L37</f>
        <v>0</v>
      </c>
      <c r="Q37" s="34" t="s">
        <v>18</v>
      </c>
      <c r="R37" s="35" t="b">
        <v>0</v>
      </c>
    </row>
    <row r="38" spans="2:18" x14ac:dyDescent="0.2">
      <c r="B38" s="30"/>
      <c r="C38" s="36"/>
      <c r="D38" t="s">
        <v>57</v>
      </c>
      <c r="L38" s="32"/>
      <c r="M38" s="32"/>
      <c r="N38" s="32"/>
      <c r="O38" s="32"/>
      <c r="P38" s="33">
        <f>N38*M38*L38</f>
        <v>0</v>
      </c>
      <c r="Q38" s="34" t="s">
        <v>58</v>
      </c>
      <c r="R38" s="35" t="b">
        <v>0</v>
      </c>
    </row>
    <row r="39" spans="2:18" x14ac:dyDescent="0.2">
      <c r="B39" s="21">
        <v>5</v>
      </c>
      <c r="C39" s="22" t="s">
        <v>59</v>
      </c>
      <c r="D39" s="23"/>
      <c r="E39" s="23"/>
      <c r="F39" s="23"/>
      <c r="G39" s="23"/>
      <c r="H39" s="23"/>
      <c r="I39" s="23"/>
      <c r="J39" s="23"/>
      <c r="K39" s="23"/>
      <c r="L39" s="39"/>
      <c r="M39" s="26"/>
      <c r="N39" s="26"/>
      <c r="O39" s="22"/>
      <c r="P39" s="22">
        <f>SUM(P40:P43)</f>
        <v>0</v>
      </c>
      <c r="Q39" s="41"/>
      <c r="R39" s="49"/>
    </row>
    <row r="40" spans="2:18" x14ac:dyDescent="0.2">
      <c r="B40" s="30"/>
      <c r="C40" s="36"/>
      <c r="D40" t="s">
        <v>60</v>
      </c>
      <c r="L40" s="32"/>
      <c r="M40" s="32"/>
      <c r="N40" s="32"/>
      <c r="O40" s="32"/>
      <c r="P40" s="33">
        <f>N40*M40*L40</f>
        <v>0</v>
      </c>
      <c r="Q40" s="50" t="s">
        <v>18</v>
      </c>
      <c r="R40" s="35" t="b">
        <v>0</v>
      </c>
    </row>
    <row r="41" spans="2:18" x14ac:dyDescent="0.2">
      <c r="B41" s="30"/>
      <c r="C41" s="36"/>
      <c r="D41" t="s">
        <v>61</v>
      </c>
      <c r="L41" s="32"/>
      <c r="M41" s="32"/>
      <c r="N41" s="32"/>
      <c r="O41" s="32"/>
      <c r="P41" s="33">
        <f>N41*M41*L41</f>
        <v>0</v>
      </c>
      <c r="Q41" s="50" t="s">
        <v>18</v>
      </c>
      <c r="R41" s="35" t="b">
        <v>0</v>
      </c>
    </row>
    <row r="42" spans="2:18" x14ac:dyDescent="0.2">
      <c r="B42" s="30"/>
      <c r="C42" s="36"/>
      <c r="D42" t="s">
        <v>62</v>
      </c>
      <c r="L42" s="32"/>
      <c r="M42" s="32"/>
      <c r="N42" s="32"/>
      <c r="O42" s="32"/>
      <c r="P42" s="33">
        <f>N42*M42*L42</f>
        <v>0</v>
      </c>
      <c r="Q42" s="50" t="s">
        <v>18</v>
      </c>
      <c r="R42" s="35" t="b">
        <v>0</v>
      </c>
    </row>
    <row r="43" spans="2:18" x14ac:dyDescent="0.2">
      <c r="B43" s="30"/>
      <c r="C43" s="36"/>
      <c r="D43" t="s">
        <v>63</v>
      </c>
      <c r="L43" s="32">
        <v>0</v>
      </c>
      <c r="M43" s="32"/>
      <c r="N43" s="32"/>
      <c r="O43" s="32"/>
      <c r="P43" s="33">
        <f>N43*M43*L43</f>
        <v>0</v>
      </c>
      <c r="Q43" s="50" t="s">
        <v>18</v>
      </c>
      <c r="R43" s="35" t="b">
        <v>0</v>
      </c>
    </row>
    <row r="44" spans="2:18" x14ac:dyDescent="0.2">
      <c r="B44" s="21">
        <v>6</v>
      </c>
      <c r="C44" s="22" t="s">
        <v>64</v>
      </c>
      <c r="D44" s="23"/>
      <c r="E44" s="23"/>
      <c r="F44" s="23"/>
      <c r="G44" s="23"/>
      <c r="H44" s="23"/>
      <c r="I44" s="23"/>
      <c r="J44" s="23"/>
      <c r="K44" s="23"/>
      <c r="L44" s="39"/>
      <c r="M44" s="26"/>
      <c r="N44" s="26"/>
      <c r="O44" s="26"/>
      <c r="P44" s="48">
        <f>SUM(P45:P56)</f>
        <v>0</v>
      </c>
      <c r="Q44" s="22"/>
      <c r="R44" s="49"/>
    </row>
    <row r="45" spans="2:18" x14ac:dyDescent="0.2">
      <c r="B45" s="30"/>
      <c r="C45" s="36"/>
      <c r="D45" t="s">
        <v>65</v>
      </c>
      <c r="L45" s="32">
        <v>1</v>
      </c>
      <c r="M45" s="32">
        <v>5</v>
      </c>
      <c r="N45" s="32"/>
      <c r="O45" s="32"/>
      <c r="P45" s="33">
        <f t="shared" ref="P45:P56" si="2">N45*M45*L45</f>
        <v>0</v>
      </c>
      <c r="Q45" s="38" t="s">
        <v>20</v>
      </c>
      <c r="R45" s="35" t="b">
        <v>0</v>
      </c>
    </row>
    <row r="46" spans="2:18" x14ac:dyDescent="0.2">
      <c r="B46" s="30"/>
      <c r="C46" s="36"/>
      <c r="D46" t="s">
        <v>66</v>
      </c>
      <c r="L46" s="32">
        <v>2</v>
      </c>
      <c r="M46" s="32">
        <v>8</v>
      </c>
      <c r="N46" s="32"/>
      <c r="O46" s="32"/>
      <c r="P46" s="33">
        <f t="shared" si="2"/>
        <v>0</v>
      </c>
      <c r="Q46" s="38" t="s">
        <v>20</v>
      </c>
      <c r="R46" s="35" t="b">
        <v>0</v>
      </c>
    </row>
    <row r="47" spans="2:18" x14ac:dyDescent="0.2">
      <c r="B47" s="30"/>
      <c r="C47" s="36"/>
      <c r="D47" t="s">
        <v>67</v>
      </c>
      <c r="L47" s="32">
        <v>2</v>
      </c>
      <c r="M47" s="32">
        <v>30</v>
      </c>
      <c r="N47" s="32"/>
      <c r="O47" s="32"/>
      <c r="P47" s="33">
        <f t="shared" si="2"/>
        <v>0</v>
      </c>
      <c r="Q47" s="38" t="s">
        <v>20</v>
      </c>
      <c r="R47" s="35"/>
    </row>
    <row r="48" spans="2:18" x14ac:dyDescent="0.2">
      <c r="B48" s="30"/>
      <c r="C48" s="36"/>
      <c r="D48" t="s">
        <v>68</v>
      </c>
      <c r="L48" s="32"/>
      <c r="M48" s="32"/>
      <c r="N48" s="32"/>
      <c r="O48" s="32"/>
      <c r="P48" s="33">
        <f>N48*M48*L48</f>
        <v>0</v>
      </c>
      <c r="Q48" s="38" t="s">
        <v>20</v>
      </c>
      <c r="R48" s="35" t="b">
        <v>0</v>
      </c>
    </row>
    <row r="49" spans="2:18" x14ac:dyDescent="0.2">
      <c r="B49" s="30"/>
      <c r="C49" s="36"/>
      <c r="D49" s="44" t="s">
        <v>31</v>
      </c>
      <c r="E49" s="44"/>
      <c r="G49">
        <v>1</v>
      </c>
      <c r="H49" t="s">
        <v>32</v>
      </c>
      <c r="L49" s="32">
        <v>2</v>
      </c>
      <c r="M49" s="32">
        <v>6</v>
      </c>
      <c r="N49" s="32"/>
      <c r="O49" s="32"/>
      <c r="P49" s="33">
        <f t="shared" si="2"/>
        <v>0</v>
      </c>
      <c r="Q49" s="38" t="s">
        <v>20</v>
      </c>
      <c r="R49" s="35" t="b">
        <v>0</v>
      </c>
    </row>
    <row r="50" spans="2:18" x14ac:dyDescent="0.2">
      <c r="B50" s="30"/>
      <c r="C50" s="36"/>
      <c r="D50" s="44" t="s">
        <v>33</v>
      </c>
      <c r="E50" s="44"/>
      <c r="G50">
        <v>2</v>
      </c>
      <c r="H50" t="s">
        <v>32</v>
      </c>
      <c r="L50" s="32">
        <v>2</v>
      </c>
      <c r="M50" s="32">
        <v>3</v>
      </c>
      <c r="N50" s="32"/>
      <c r="O50" s="32"/>
      <c r="P50" s="33">
        <f t="shared" si="2"/>
        <v>0</v>
      </c>
      <c r="Q50" s="38" t="s">
        <v>20</v>
      </c>
      <c r="R50" s="35" t="b">
        <v>0</v>
      </c>
    </row>
    <row r="51" spans="2:18" x14ac:dyDescent="0.2">
      <c r="B51" s="30"/>
      <c r="C51" s="36"/>
      <c r="D51" s="45" t="s">
        <v>35</v>
      </c>
      <c r="E51" s="45"/>
      <c r="G51">
        <v>12</v>
      </c>
      <c r="H51" t="s">
        <v>32</v>
      </c>
      <c r="L51" s="32">
        <v>2</v>
      </c>
      <c r="M51" s="32">
        <v>6</v>
      </c>
      <c r="N51" s="32"/>
      <c r="O51" s="32"/>
      <c r="P51" s="33">
        <f t="shared" si="2"/>
        <v>0</v>
      </c>
      <c r="Q51" s="38" t="s">
        <v>20</v>
      </c>
      <c r="R51" s="35" t="b">
        <v>0</v>
      </c>
    </row>
    <row r="52" spans="2:18" x14ac:dyDescent="0.2">
      <c r="B52" s="30"/>
      <c r="C52" s="36"/>
      <c r="D52" s="45" t="s">
        <v>36</v>
      </c>
      <c r="E52" s="45"/>
      <c r="G52" s="46">
        <v>2</v>
      </c>
      <c r="H52" s="46" t="s">
        <v>32</v>
      </c>
      <c r="L52" s="32">
        <v>2</v>
      </c>
      <c r="M52" s="32">
        <v>12</v>
      </c>
      <c r="N52" s="32"/>
      <c r="O52" s="32"/>
      <c r="P52" s="33">
        <f t="shared" si="2"/>
        <v>0</v>
      </c>
      <c r="Q52" s="38" t="s">
        <v>20</v>
      </c>
      <c r="R52" s="35" t="b">
        <v>0</v>
      </c>
    </row>
    <row r="53" spans="2:18" x14ac:dyDescent="0.2">
      <c r="B53" s="30"/>
      <c r="C53" s="36"/>
      <c r="D53" s="45" t="s">
        <v>37</v>
      </c>
      <c r="E53" s="45"/>
      <c r="G53" s="46">
        <v>2</v>
      </c>
      <c r="H53" s="46" t="s">
        <v>32</v>
      </c>
      <c r="L53" s="32">
        <v>2</v>
      </c>
      <c r="M53" s="32">
        <v>5</v>
      </c>
      <c r="N53" s="32"/>
      <c r="O53" s="32"/>
      <c r="P53" s="33">
        <f t="shared" si="2"/>
        <v>0</v>
      </c>
      <c r="Q53" s="38" t="s">
        <v>20</v>
      </c>
      <c r="R53" s="35" t="b">
        <v>0</v>
      </c>
    </row>
    <row r="54" spans="2:18" x14ac:dyDescent="0.2">
      <c r="B54" s="30"/>
      <c r="C54" s="36"/>
      <c r="D54" s="45" t="s">
        <v>38</v>
      </c>
      <c r="E54" s="45"/>
      <c r="G54" s="46">
        <v>1</v>
      </c>
      <c r="H54" s="46" t="s">
        <v>32</v>
      </c>
      <c r="L54" s="32">
        <v>2</v>
      </c>
      <c r="M54" s="32">
        <v>5</v>
      </c>
      <c r="N54" s="32"/>
      <c r="O54" s="32"/>
      <c r="P54" s="33">
        <f t="shared" si="2"/>
        <v>0</v>
      </c>
      <c r="Q54" s="38" t="s">
        <v>20</v>
      </c>
      <c r="R54" s="35" t="b">
        <v>0</v>
      </c>
    </row>
    <row r="55" spans="2:18" x14ac:dyDescent="0.2">
      <c r="B55" s="30"/>
      <c r="C55" s="36"/>
      <c r="D55" s="45" t="s">
        <v>39</v>
      </c>
      <c r="E55" s="45"/>
      <c r="G55" s="46">
        <v>1</v>
      </c>
      <c r="H55" s="46" t="s">
        <v>32</v>
      </c>
      <c r="L55" s="32">
        <v>2</v>
      </c>
      <c r="M55" s="32">
        <v>5</v>
      </c>
      <c r="N55" s="32"/>
      <c r="O55" s="32"/>
      <c r="P55" s="33">
        <f t="shared" si="2"/>
        <v>0</v>
      </c>
      <c r="Q55" s="38" t="s">
        <v>20</v>
      </c>
      <c r="R55" s="35" t="b">
        <v>0</v>
      </c>
    </row>
    <row r="56" spans="2:18" x14ac:dyDescent="0.2">
      <c r="B56" s="30"/>
      <c r="C56" s="36"/>
      <c r="D56" s="44" t="s">
        <v>95</v>
      </c>
      <c r="E56" s="44"/>
      <c r="G56" s="46">
        <v>12</v>
      </c>
      <c r="H56" s="46" t="s">
        <v>32</v>
      </c>
      <c r="L56" s="32">
        <v>2</v>
      </c>
      <c r="M56" s="32">
        <v>5</v>
      </c>
      <c r="N56" s="32"/>
      <c r="O56" s="32"/>
      <c r="P56" s="33">
        <f t="shared" si="2"/>
        <v>0</v>
      </c>
      <c r="Q56" s="38" t="s">
        <v>20</v>
      </c>
      <c r="R56" s="35" t="b">
        <v>0</v>
      </c>
    </row>
    <row r="57" spans="2:18" x14ac:dyDescent="0.2">
      <c r="B57" s="21">
        <v>7</v>
      </c>
      <c r="C57" s="22" t="s">
        <v>70</v>
      </c>
      <c r="D57" s="23"/>
      <c r="E57" s="23"/>
      <c r="F57" s="23"/>
      <c r="G57" s="23"/>
      <c r="H57" s="23"/>
      <c r="I57" s="23"/>
      <c r="J57" s="23"/>
      <c r="K57" s="23"/>
      <c r="L57" s="39"/>
      <c r="M57" s="26"/>
      <c r="N57" s="26"/>
      <c r="O57" s="26"/>
      <c r="P57" s="48">
        <f>SUM(P58:P60)</f>
        <v>0</v>
      </c>
      <c r="Q57" s="22"/>
      <c r="R57" s="49"/>
    </row>
    <row r="58" spans="2:18" x14ac:dyDescent="0.2">
      <c r="B58" s="30"/>
      <c r="C58" s="36"/>
      <c r="D58" t="s">
        <v>71</v>
      </c>
      <c r="L58" s="32">
        <v>2</v>
      </c>
      <c r="M58" s="32">
        <v>11</v>
      </c>
      <c r="N58" s="32"/>
      <c r="O58" s="32"/>
      <c r="P58" s="33">
        <v>0</v>
      </c>
      <c r="Q58" s="38" t="s">
        <v>20</v>
      </c>
      <c r="R58" s="35" t="b">
        <v>0</v>
      </c>
    </row>
    <row r="59" spans="2:18" x14ac:dyDescent="0.2">
      <c r="B59" s="30"/>
      <c r="C59" s="36"/>
      <c r="D59" t="s">
        <v>72</v>
      </c>
      <c r="L59" s="32">
        <v>2</v>
      </c>
      <c r="M59" s="32">
        <v>11</v>
      </c>
      <c r="N59" s="32"/>
      <c r="O59" s="32"/>
      <c r="P59" s="33">
        <v>0</v>
      </c>
      <c r="Q59" s="38" t="s">
        <v>20</v>
      </c>
      <c r="R59" s="35" t="b">
        <v>0</v>
      </c>
    </row>
    <row r="60" spans="2:18" x14ac:dyDescent="0.2">
      <c r="B60" s="30"/>
      <c r="C60" s="36"/>
      <c r="D60" t="s">
        <v>73</v>
      </c>
      <c r="L60" s="32">
        <v>2</v>
      </c>
      <c r="M60" s="32">
        <v>11</v>
      </c>
      <c r="N60" s="32"/>
      <c r="O60" s="32"/>
      <c r="P60" s="33">
        <v>0</v>
      </c>
      <c r="Q60" s="38" t="s">
        <v>20</v>
      </c>
      <c r="R60" s="35" t="b">
        <v>0</v>
      </c>
    </row>
    <row r="61" spans="2:18" x14ac:dyDescent="0.2">
      <c r="B61" s="21">
        <v>8</v>
      </c>
      <c r="C61" s="22" t="s">
        <v>74</v>
      </c>
      <c r="D61" s="23"/>
      <c r="E61" s="23"/>
      <c r="F61" s="23"/>
      <c r="G61" s="23"/>
      <c r="H61" s="23"/>
      <c r="I61" s="23"/>
      <c r="J61" s="23"/>
      <c r="K61" s="23"/>
      <c r="L61" s="39"/>
      <c r="M61" s="26"/>
      <c r="N61" s="26"/>
      <c r="O61" s="26"/>
      <c r="P61" s="48">
        <f>SUM(P62:P67)</f>
        <v>0</v>
      </c>
      <c r="Q61" s="22"/>
      <c r="R61" s="51"/>
    </row>
    <row r="62" spans="2:18" x14ac:dyDescent="0.2">
      <c r="B62" s="52"/>
      <c r="D62" t="s">
        <v>75</v>
      </c>
      <c r="L62" s="32">
        <v>1</v>
      </c>
      <c r="M62" s="32">
        <v>2</v>
      </c>
      <c r="N62" s="32"/>
      <c r="O62" s="32"/>
      <c r="P62" s="33">
        <v>0</v>
      </c>
      <c r="Q62" s="38" t="s">
        <v>20</v>
      </c>
      <c r="R62" s="35" t="b">
        <v>0</v>
      </c>
    </row>
    <row r="63" spans="2:18" x14ac:dyDescent="0.2">
      <c r="B63" s="52"/>
      <c r="D63" t="s">
        <v>76</v>
      </c>
      <c r="L63" s="32">
        <v>1</v>
      </c>
      <c r="M63" s="32">
        <v>2</v>
      </c>
      <c r="N63" s="32"/>
      <c r="O63" s="32"/>
      <c r="P63" s="33">
        <v>0</v>
      </c>
      <c r="Q63" s="38" t="s">
        <v>20</v>
      </c>
      <c r="R63" s="35" t="b">
        <v>0</v>
      </c>
    </row>
    <row r="64" spans="2:18" x14ac:dyDescent="0.2">
      <c r="B64" s="52"/>
      <c r="D64" t="s">
        <v>74</v>
      </c>
      <c r="L64" s="32">
        <v>1</v>
      </c>
      <c r="M64" s="32">
        <v>2</v>
      </c>
      <c r="N64" s="32"/>
      <c r="O64" s="32"/>
      <c r="P64" s="33">
        <v>0</v>
      </c>
      <c r="Q64" s="38" t="s">
        <v>20</v>
      </c>
      <c r="R64" s="35" t="b">
        <v>0</v>
      </c>
    </row>
    <row r="65" spans="2:18" x14ac:dyDescent="0.2">
      <c r="B65" s="52"/>
      <c r="D65" t="s">
        <v>77</v>
      </c>
      <c r="L65" s="32">
        <v>1</v>
      </c>
      <c r="M65" s="32"/>
      <c r="N65" s="32"/>
      <c r="O65" s="32"/>
      <c r="P65" s="33">
        <v>0</v>
      </c>
      <c r="Q65" s="38" t="s">
        <v>20</v>
      </c>
      <c r="R65" s="35" t="b">
        <v>0</v>
      </c>
    </row>
    <row r="66" spans="2:18" x14ac:dyDescent="0.2">
      <c r="B66" s="52"/>
      <c r="D66" t="s">
        <v>78</v>
      </c>
      <c r="L66" s="32">
        <v>1</v>
      </c>
      <c r="M66" s="32">
        <v>2</v>
      </c>
      <c r="N66" s="32"/>
      <c r="O66" s="32"/>
      <c r="P66" s="33">
        <v>0</v>
      </c>
      <c r="Q66" s="38" t="s">
        <v>20</v>
      </c>
      <c r="R66" s="35" t="b">
        <v>0</v>
      </c>
    </row>
    <row r="67" spans="2:18" x14ac:dyDescent="0.2">
      <c r="B67" s="52"/>
      <c r="D67" t="s">
        <v>79</v>
      </c>
      <c r="L67" s="32">
        <v>1</v>
      </c>
      <c r="M67" s="32"/>
      <c r="N67" s="32"/>
      <c r="O67" s="32"/>
      <c r="P67" s="33">
        <v>0</v>
      </c>
      <c r="Q67" s="38" t="s">
        <v>20</v>
      </c>
      <c r="R67" s="35" t="b">
        <v>0</v>
      </c>
    </row>
    <row r="68" spans="2:18" x14ac:dyDescent="0.2">
      <c r="B68" s="53">
        <v>9</v>
      </c>
      <c r="C68" s="54" t="s">
        <v>80</v>
      </c>
      <c r="D68" s="55"/>
      <c r="E68" s="55"/>
      <c r="F68" s="55"/>
      <c r="G68" s="55"/>
      <c r="H68" s="55"/>
      <c r="I68" s="55"/>
      <c r="J68" s="55"/>
      <c r="K68" s="55"/>
      <c r="L68" s="56"/>
      <c r="M68" s="55"/>
      <c r="N68" s="55"/>
      <c r="O68" s="26"/>
      <c r="P68" s="48">
        <f>SUM(P69)</f>
        <v>0</v>
      </c>
      <c r="Q68" s="55"/>
      <c r="R68" s="57"/>
    </row>
    <row r="69" spans="2:18" ht="204" x14ac:dyDescent="0.2">
      <c r="B69" s="30"/>
      <c r="C69" s="36"/>
      <c r="D69" s="58" t="s">
        <v>81</v>
      </c>
      <c r="E69" s="58"/>
      <c r="F69" s="58"/>
      <c r="G69" s="58"/>
      <c r="H69" s="58"/>
      <c r="L69" s="59">
        <v>1</v>
      </c>
      <c r="M69" s="59">
        <v>4</v>
      </c>
      <c r="N69" s="59"/>
      <c r="O69" s="59"/>
      <c r="P69" s="64">
        <v>0</v>
      </c>
      <c r="Q69" s="101" t="s">
        <v>20</v>
      </c>
      <c r="R69" s="35" t="b">
        <v>0</v>
      </c>
    </row>
    <row r="70" spans="2:18" x14ac:dyDescent="0.2">
      <c r="B70" s="52"/>
      <c r="D70" t="s">
        <v>82</v>
      </c>
      <c r="L70" s="32">
        <v>1</v>
      </c>
      <c r="M70" s="32">
        <v>2</v>
      </c>
      <c r="N70" s="32"/>
      <c r="O70" s="32"/>
      <c r="P70" s="33">
        <v>0</v>
      </c>
      <c r="Q70" s="38" t="s">
        <v>20</v>
      </c>
      <c r="R70" s="35" t="b">
        <v>0</v>
      </c>
    </row>
    <row r="71" spans="2:18" x14ac:dyDescent="0.2">
      <c r="B71" s="60" t="s">
        <v>83</v>
      </c>
      <c r="C71" s="23"/>
      <c r="D71" s="23"/>
      <c r="E71" s="23"/>
      <c r="F71" s="23"/>
      <c r="G71" s="23"/>
      <c r="H71" s="23"/>
      <c r="I71" s="23"/>
      <c r="J71" s="23"/>
      <c r="K71" s="23"/>
      <c r="L71" s="26" t="s">
        <v>84</v>
      </c>
      <c r="M71" s="26"/>
      <c r="N71" s="26"/>
      <c r="O71" s="26"/>
      <c r="P71" s="48">
        <f>P61+P57+P44+P39+P33+P27+P11+P3+P68</f>
        <v>0</v>
      </c>
      <c r="Q71" s="22"/>
      <c r="R71" s="55"/>
    </row>
    <row r="72" spans="2:18" x14ac:dyDescent="0.2">
      <c r="B72" s="52"/>
      <c r="C72" s="103" t="s">
        <v>85</v>
      </c>
      <c r="D72" s="103"/>
      <c r="E72" s="61"/>
      <c r="F72" s="61"/>
      <c r="G72" s="61"/>
      <c r="H72" s="61"/>
      <c r="I72" s="62"/>
      <c r="J72" s="62"/>
      <c r="K72" s="62"/>
      <c r="L72" s="52"/>
      <c r="M72" s="52"/>
      <c r="N72" s="52"/>
      <c r="O72" s="52"/>
      <c r="R72" s="63"/>
    </row>
    <row r="73" spans="2:18" x14ac:dyDescent="0.2">
      <c r="B73" s="52"/>
      <c r="C73" s="103"/>
      <c r="D73" s="103"/>
      <c r="E73" s="61"/>
      <c r="F73" s="61"/>
      <c r="G73" s="61"/>
      <c r="H73" s="61"/>
      <c r="L73" s="52"/>
      <c r="M73" s="52"/>
      <c r="N73" s="52"/>
      <c r="O73" s="52"/>
      <c r="R73" s="63"/>
    </row>
  </sheetData>
  <mergeCells count="8">
    <mergeCell ref="D8:F8"/>
    <mergeCell ref="C72:D73"/>
    <mergeCell ref="B1:C1"/>
    <mergeCell ref="H2:I2"/>
    <mergeCell ref="D4:F4"/>
    <mergeCell ref="D5:F5"/>
    <mergeCell ref="D6:F6"/>
    <mergeCell ref="D7:F7"/>
  </mergeCells>
  <conditionalFormatting sqref="F1">
    <cfRule type="expression" dxfId="9" priority="2">
      <formula>#REF!&gt;15</formula>
    </cfRule>
  </conditionalFormatting>
  <conditionalFormatting sqref="H1">
    <cfRule type="expression" dxfId="8" priority="1">
      <formula>#REF!&gt;$O$3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29A8-6B82-4D51-8379-21BFFEACFD27}">
  <dimension ref="B1:S73"/>
  <sheetViews>
    <sheetView zoomScale="70" zoomScaleNormal="70" workbookViewId="0">
      <selection activeCell="I5" sqref="I5"/>
    </sheetView>
  </sheetViews>
  <sheetFormatPr defaultRowHeight="12.75" x14ac:dyDescent="0.2"/>
  <cols>
    <col min="1" max="1" width="2.140625" customWidth="1"/>
    <col min="3" max="3" width="28" bestFit="1" customWidth="1"/>
    <col min="4" max="4" width="52" bestFit="1" customWidth="1"/>
    <col min="7" max="7" width="11.85546875" customWidth="1"/>
  </cols>
  <sheetData>
    <row r="1" spans="2:18" ht="40.5" customHeight="1" thickBot="1" x14ac:dyDescent="0.25">
      <c r="B1" s="111" t="s">
        <v>105</v>
      </c>
      <c r="C1" s="111"/>
      <c r="D1" s="1" t="s">
        <v>92</v>
      </c>
      <c r="E1" s="2" t="s">
        <v>0</v>
      </c>
      <c r="F1" s="93">
        <v>0</v>
      </c>
      <c r="G1" s="2" t="s">
        <v>93</v>
      </c>
      <c r="H1" s="94">
        <f>SUM(O4:O70)</f>
        <v>0</v>
      </c>
      <c r="I1" s="2" t="s">
        <v>2</v>
      </c>
      <c r="J1" s="95">
        <v>0</v>
      </c>
      <c r="K1" s="7" t="s">
        <v>3</v>
      </c>
      <c r="L1" s="96">
        <f>(COUNTA(O4:O32)/COUNTA(D4:D32))*100%</f>
        <v>0</v>
      </c>
      <c r="M1" s="7" t="s">
        <v>4</v>
      </c>
      <c r="N1" s="97">
        <f>(COUNTA(N45:N70)/COUNTA(D45:D70))*100%</f>
        <v>0</v>
      </c>
      <c r="O1" s="7" t="s">
        <v>5</v>
      </c>
      <c r="P1" s="97">
        <f>(COUNTA(N34:N43)/COUNTA(D34:D43))*100%</f>
        <v>0</v>
      </c>
      <c r="Q1" s="7" t="s">
        <v>6</v>
      </c>
      <c r="R1" s="13">
        <v>0</v>
      </c>
    </row>
    <row r="2" spans="2:18" ht="64.5" thickBot="1" x14ac:dyDescent="0.25">
      <c r="B2" s="79" t="s">
        <v>7</v>
      </c>
      <c r="C2" s="79"/>
      <c r="D2" s="79"/>
      <c r="E2" s="79"/>
      <c r="F2" s="79"/>
      <c r="G2" s="80" t="s">
        <v>8</v>
      </c>
      <c r="H2" s="112"/>
      <c r="I2" s="113"/>
      <c r="J2" s="81"/>
      <c r="K2" s="81"/>
      <c r="L2" s="83" t="s">
        <v>9</v>
      </c>
      <c r="M2" s="82" t="s">
        <v>10</v>
      </c>
      <c r="N2" s="83" t="s">
        <v>11</v>
      </c>
      <c r="O2" s="82" t="s">
        <v>12</v>
      </c>
      <c r="P2" s="83" t="s">
        <v>13</v>
      </c>
      <c r="Q2" s="84" t="s">
        <v>14</v>
      </c>
      <c r="R2" s="84" t="s">
        <v>15</v>
      </c>
    </row>
    <row r="3" spans="2:18" x14ac:dyDescent="0.2">
      <c r="B3" s="21">
        <v>1</v>
      </c>
      <c r="C3" s="22" t="s">
        <v>16</v>
      </c>
      <c r="D3" s="23"/>
      <c r="E3" s="23"/>
      <c r="F3" s="23"/>
      <c r="G3" s="23"/>
      <c r="H3" s="23"/>
      <c r="I3" s="23"/>
      <c r="J3" s="23"/>
      <c r="K3" s="23"/>
      <c r="L3" s="24"/>
      <c r="M3" s="25"/>
      <c r="N3" s="25"/>
      <c r="O3" s="26"/>
      <c r="P3" s="27">
        <f>SUM(P4:P10)</f>
        <v>0</v>
      </c>
      <c r="Q3" s="28"/>
      <c r="R3" s="29"/>
    </row>
    <row r="4" spans="2:18" x14ac:dyDescent="0.2">
      <c r="B4" s="30"/>
      <c r="C4" s="31"/>
      <c r="D4" s="102" t="s">
        <v>17</v>
      </c>
      <c r="E4" s="102"/>
      <c r="F4" s="102"/>
      <c r="L4" s="32"/>
      <c r="M4" s="32"/>
      <c r="N4" s="32"/>
      <c r="O4" s="32"/>
      <c r="P4" s="33">
        <f>N4*M4*L4</f>
        <v>0</v>
      </c>
      <c r="Q4" s="34" t="s">
        <v>18</v>
      </c>
      <c r="R4" s="35" t="b">
        <v>0</v>
      </c>
    </row>
    <row r="5" spans="2:18" x14ac:dyDescent="0.2">
      <c r="B5" s="30"/>
      <c r="C5" s="36"/>
      <c r="D5" s="102" t="s">
        <v>19</v>
      </c>
      <c r="E5" s="102"/>
      <c r="F5" s="102"/>
      <c r="L5" s="32">
        <v>1</v>
      </c>
      <c r="M5" s="32">
        <v>1</v>
      </c>
      <c r="N5" s="37"/>
      <c r="O5" s="32"/>
      <c r="P5" s="33">
        <f t="shared" ref="P5:P10" si="0">N5*M5*L5</f>
        <v>0</v>
      </c>
      <c r="Q5" s="38" t="s">
        <v>20</v>
      </c>
      <c r="R5" s="35" t="b">
        <v>0</v>
      </c>
    </row>
    <row r="6" spans="2:18" x14ac:dyDescent="0.2">
      <c r="B6" s="30"/>
      <c r="C6" s="36"/>
      <c r="D6" s="102" t="s">
        <v>21</v>
      </c>
      <c r="E6" s="102"/>
      <c r="F6" s="102"/>
      <c r="L6" s="32">
        <v>1</v>
      </c>
      <c r="M6" s="32">
        <v>2</v>
      </c>
      <c r="N6" s="37"/>
      <c r="O6" s="32"/>
      <c r="P6" s="33">
        <f t="shared" si="0"/>
        <v>0</v>
      </c>
      <c r="Q6" s="38" t="s">
        <v>20</v>
      </c>
      <c r="R6" s="35" t="b">
        <v>0</v>
      </c>
    </row>
    <row r="7" spans="2:18" x14ac:dyDescent="0.2">
      <c r="B7" s="30"/>
      <c r="C7" s="36"/>
      <c r="D7" s="102" t="s">
        <v>22</v>
      </c>
      <c r="E7" s="102"/>
      <c r="F7" s="102"/>
      <c r="L7" s="32">
        <v>1</v>
      </c>
      <c r="M7" s="32">
        <v>2</v>
      </c>
      <c r="N7" s="37"/>
      <c r="O7" s="32"/>
      <c r="P7" s="33">
        <f t="shared" si="0"/>
        <v>0</v>
      </c>
      <c r="Q7" s="38" t="s">
        <v>20</v>
      </c>
      <c r="R7" s="35" t="b">
        <v>0</v>
      </c>
    </row>
    <row r="8" spans="2:18" x14ac:dyDescent="0.2">
      <c r="B8" s="30"/>
      <c r="C8" s="31"/>
      <c r="D8" s="102" t="s">
        <v>23</v>
      </c>
      <c r="E8" s="102"/>
      <c r="F8" s="102"/>
      <c r="L8" s="32"/>
      <c r="M8" s="32"/>
      <c r="N8" s="37"/>
      <c r="O8" s="32"/>
      <c r="P8" s="33">
        <f t="shared" si="0"/>
        <v>0</v>
      </c>
      <c r="Q8" s="34" t="s">
        <v>18</v>
      </c>
      <c r="R8" s="35" t="b">
        <v>0</v>
      </c>
    </row>
    <row r="9" spans="2:18" x14ac:dyDescent="0.2">
      <c r="B9" s="30"/>
      <c r="C9" s="36"/>
      <c r="D9" t="s">
        <v>25</v>
      </c>
      <c r="L9" s="32"/>
      <c r="M9" s="32"/>
      <c r="N9" s="37"/>
      <c r="O9" s="32"/>
      <c r="P9" s="33">
        <f t="shared" si="0"/>
        <v>0</v>
      </c>
      <c r="Q9" s="38" t="s">
        <v>20</v>
      </c>
      <c r="R9" s="35" t="b">
        <v>0</v>
      </c>
    </row>
    <row r="10" spans="2:18" x14ac:dyDescent="0.2">
      <c r="B10" s="30"/>
      <c r="C10" s="36"/>
      <c r="D10" t="s">
        <v>26</v>
      </c>
      <c r="L10" s="32">
        <v>1</v>
      </c>
      <c r="M10" s="32">
        <v>6</v>
      </c>
      <c r="N10" s="37"/>
      <c r="O10" s="32"/>
      <c r="P10" s="33">
        <f t="shared" si="0"/>
        <v>0</v>
      </c>
      <c r="Q10" s="38" t="s">
        <v>20</v>
      </c>
      <c r="R10" s="35" t="b">
        <v>0</v>
      </c>
    </row>
    <row r="11" spans="2:18" x14ac:dyDescent="0.2">
      <c r="B11" s="21">
        <v>2</v>
      </c>
      <c r="C11" s="22" t="s">
        <v>27</v>
      </c>
      <c r="D11" s="23"/>
      <c r="E11" s="23"/>
      <c r="F11" s="23"/>
      <c r="G11" s="23"/>
      <c r="H11" s="23"/>
      <c r="I11" s="23"/>
      <c r="J11" s="23"/>
      <c r="K11" s="23"/>
      <c r="L11" s="39"/>
      <c r="M11" s="26"/>
      <c r="N11" s="26"/>
      <c r="O11" s="26"/>
      <c r="P11" s="40">
        <f>SUM(P12:P26)</f>
        <v>0</v>
      </c>
      <c r="Q11" s="41"/>
      <c r="R11" s="42"/>
    </row>
    <row r="12" spans="2:18" x14ac:dyDescent="0.2">
      <c r="B12" s="30"/>
      <c r="C12" s="43"/>
      <c r="D12" t="s">
        <v>28</v>
      </c>
      <c r="L12" s="32">
        <v>1</v>
      </c>
      <c r="M12" s="32">
        <v>1</v>
      </c>
      <c r="N12" s="32"/>
      <c r="O12" s="32"/>
      <c r="P12" s="33">
        <v>0</v>
      </c>
      <c r="Q12" s="38" t="s">
        <v>20</v>
      </c>
      <c r="R12" s="35" t="b">
        <v>0</v>
      </c>
    </row>
    <row r="13" spans="2:18" x14ac:dyDescent="0.2">
      <c r="B13" s="30"/>
      <c r="C13" s="36"/>
      <c r="D13" t="s">
        <v>29</v>
      </c>
      <c r="L13" s="32">
        <v>2</v>
      </c>
      <c r="M13" s="32">
        <v>10</v>
      </c>
      <c r="N13" s="37"/>
      <c r="O13" s="32"/>
      <c r="P13" s="33">
        <v>0</v>
      </c>
      <c r="Q13" s="38" t="s">
        <v>20</v>
      </c>
      <c r="R13" s="35" t="b">
        <v>0</v>
      </c>
    </row>
    <row r="14" spans="2:18" x14ac:dyDescent="0.2">
      <c r="B14" s="30"/>
      <c r="C14" s="36"/>
      <c r="D14" t="s">
        <v>30</v>
      </c>
      <c r="L14" s="32"/>
      <c r="M14" s="32"/>
      <c r="N14" s="37"/>
      <c r="O14" s="32"/>
      <c r="P14" s="33">
        <v>0</v>
      </c>
      <c r="Q14" s="38" t="s">
        <v>20</v>
      </c>
      <c r="R14" s="35" t="b">
        <v>0</v>
      </c>
    </row>
    <row r="15" spans="2:18" x14ac:dyDescent="0.2">
      <c r="B15" s="30"/>
      <c r="C15" s="36"/>
      <c r="D15" s="44" t="s">
        <v>31</v>
      </c>
      <c r="E15" s="44"/>
      <c r="G15">
        <v>1</v>
      </c>
      <c r="H15" t="s">
        <v>32</v>
      </c>
      <c r="L15" s="32">
        <v>2</v>
      </c>
      <c r="M15" s="32">
        <v>6</v>
      </c>
      <c r="N15" s="37"/>
      <c r="O15" s="32"/>
      <c r="P15" s="33">
        <v>0</v>
      </c>
      <c r="Q15" s="38" t="s">
        <v>20</v>
      </c>
      <c r="R15" s="35" t="b">
        <v>0</v>
      </c>
    </row>
    <row r="16" spans="2:18" x14ac:dyDescent="0.2">
      <c r="B16" s="30"/>
      <c r="C16" s="36"/>
      <c r="D16" s="44" t="s">
        <v>33</v>
      </c>
      <c r="E16" s="44"/>
      <c r="G16">
        <v>2</v>
      </c>
      <c r="H16" t="s">
        <v>32</v>
      </c>
      <c r="L16" s="32">
        <v>2</v>
      </c>
      <c r="M16" s="32">
        <v>2</v>
      </c>
      <c r="N16" s="37"/>
      <c r="O16" s="32"/>
      <c r="P16" s="33">
        <v>0</v>
      </c>
      <c r="Q16" s="38" t="s">
        <v>20</v>
      </c>
      <c r="R16" s="35" t="b">
        <v>0</v>
      </c>
    </row>
    <row r="17" spans="2:18" x14ac:dyDescent="0.2">
      <c r="B17" s="30"/>
      <c r="C17" s="36"/>
      <c r="D17" s="44" t="s">
        <v>34</v>
      </c>
      <c r="E17" s="44"/>
      <c r="G17">
        <v>1</v>
      </c>
      <c r="H17" t="s">
        <v>32</v>
      </c>
      <c r="L17" s="32">
        <v>2</v>
      </c>
      <c r="M17" s="32">
        <v>8</v>
      </c>
      <c r="N17" s="37"/>
      <c r="O17" s="32"/>
      <c r="P17" s="33">
        <v>0</v>
      </c>
      <c r="Q17" s="38" t="s">
        <v>20</v>
      </c>
      <c r="R17" s="35" t="b">
        <v>0</v>
      </c>
    </row>
    <row r="18" spans="2:18" x14ac:dyDescent="0.2">
      <c r="B18" s="30"/>
      <c r="C18" s="36"/>
      <c r="D18" s="45" t="s">
        <v>35</v>
      </c>
      <c r="E18" s="45"/>
      <c r="G18">
        <v>6</v>
      </c>
      <c r="H18" t="s">
        <v>32</v>
      </c>
      <c r="L18" s="32">
        <v>2</v>
      </c>
      <c r="M18" s="32">
        <v>5</v>
      </c>
      <c r="N18" s="37"/>
      <c r="O18" s="32"/>
      <c r="P18" s="33">
        <v>0</v>
      </c>
      <c r="Q18" s="38" t="s">
        <v>20</v>
      </c>
      <c r="R18" s="35" t="b">
        <v>0</v>
      </c>
    </row>
    <row r="19" spans="2:18" x14ac:dyDescent="0.2">
      <c r="B19" s="30"/>
      <c r="C19" s="36"/>
      <c r="D19" s="45" t="s">
        <v>36</v>
      </c>
      <c r="E19" s="45"/>
      <c r="G19" s="46">
        <v>1</v>
      </c>
      <c r="H19" s="46" t="s">
        <v>32</v>
      </c>
      <c r="L19" s="32">
        <v>2</v>
      </c>
      <c r="M19" s="32">
        <v>8</v>
      </c>
      <c r="N19" s="37"/>
      <c r="O19" s="32"/>
      <c r="P19" s="33">
        <v>0</v>
      </c>
      <c r="Q19" s="38" t="s">
        <v>20</v>
      </c>
      <c r="R19" s="35" t="b">
        <v>0</v>
      </c>
    </row>
    <row r="20" spans="2:18" x14ac:dyDescent="0.2">
      <c r="B20" s="30"/>
      <c r="C20" s="36"/>
      <c r="D20" s="45" t="s">
        <v>37</v>
      </c>
      <c r="E20" s="45"/>
      <c r="G20" s="46">
        <v>1</v>
      </c>
      <c r="H20" s="46" t="s">
        <v>32</v>
      </c>
      <c r="L20" s="32">
        <v>2</v>
      </c>
      <c r="M20" s="32">
        <v>2</v>
      </c>
      <c r="N20" s="37"/>
      <c r="O20" s="32"/>
      <c r="P20" s="33">
        <v>0</v>
      </c>
      <c r="Q20" s="38" t="s">
        <v>20</v>
      </c>
      <c r="R20" s="35" t="b">
        <v>0</v>
      </c>
    </row>
    <row r="21" spans="2:18" x14ac:dyDescent="0.2">
      <c r="B21" s="30"/>
      <c r="C21" s="36"/>
      <c r="D21" s="45" t="s">
        <v>38</v>
      </c>
      <c r="E21" s="45"/>
      <c r="G21" s="46">
        <v>1</v>
      </c>
      <c r="H21" s="46" t="s">
        <v>32</v>
      </c>
      <c r="L21" s="32">
        <v>2</v>
      </c>
      <c r="M21" s="32">
        <v>2</v>
      </c>
      <c r="N21" s="37"/>
      <c r="O21" s="32"/>
      <c r="P21" s="33">
        <v>0</v>
      </c>
      <c r="Q21" s="38" t="s">
        <v>20</v>
      </c>
      <c r="R21" s="35" t="b">
        <v>0</v>
      </c>
    </row>
    <row r="22" spans="2:18" x14ac:dyDescent="0.2">
      <c r="B22" s="30"/>
      <c r="C22" s="36"/>
      <c r="D22" s="45" t="s">
        <v>39</v>
      </c>
      <c r="E22" s="45"/>
      <c r="G22" s="46">
        <v>1</v>
      </c>
      <c r="H22" s="46" t="s">
        <v>32</v>
      </c>
      <c r="L22" s="32">
        <v>2</v>
      </c>
      <c r="M22" s="32">
        <v>2</v>
      </c>
      <c r="N22" s="37"/>
      <c r="O22" s="32"/>
      <c r="P22" s="33">
        <v>0</v>
      </c>
      <c r="Q22" s="38" t="s">
        <v>20</v>
      </c>
      <c r="R22" s="35" t="b">
        <v>0</v>
      </c>
    </row>
    <row r="23" spans="2:18" x14ac:dyDescent="0.2">
      <c r="B23" s="30"/>
      <c r="C23" s="36"/>
      <c r="D23" s="45" t="s">
        <v>40</v>
      </c>
      <c r="E23" s="45"/>
      <c r="G23" s="46">
        <v>1</v>
      </c>
      <c r="H23" s="46" t="s">
        <v>32</v>
      </c>
      <c r="L23" s="32">
        <v>2</v>
      </c>
      <c r="M23" s="32">
        <v>2</v>
      </c>
      <c r="N23" s="37"/>
      <c r="O23" s="32"/>
      <c r="P23" s="33">
        <v>0</v>
      </c>
      <c r="Q23" s="38" t="s">
        <v>20</v>
      </c>
      <c r="R23" s="35" t="b">
        <v>0</v>
      </c>
    </row>
    <row r="24" spans="2:18" x14ac:dyDescent="0.2">
      <c r="B24" s="30"/>
      <c r="C24" s="36"/>
      <c r="D24" s="44" t="s">
        <v>41</v>
      </c>
      <c r="E24" s="44"/>
      <c r="G24" s="46">
        <v>6</v>
      </c>
      <c r="H24" s="46" t="s">
        <v>32</v>
      </c>
      <c r="L24" s="32">
        <v>2</v>
      </c>
      <c r="M24" s="32">
        <v>2</v>
      </c>
      <c r="N24" s="37"/>
      <c r="O24" s="32"/>
      <c r="P24" s="33">
        <v>0</v>
      </c>
      <c r="Q24" s="38" t="s">
        <v>20</v>
      </c>
      <c r="R24" s="35" t="b">
        <v>0</v>
      </c>
    </row>
    <row r="25" spans="2:18" x14ac:dyDescent="0.2">
      <c r="B25" s="30"/>
      <c r="C25" s="36"/>
      <c r="D25" t="s">
        <v>42</v>
      </c>
      <c r="L25" s="32"/>
      <c r="M25" s="32"/>
      <c r="N25" s="37"/>
      <c r="O25" s="32"/>
      <c r="P25" s="33">
        <v>0</v>
      </c>
      <c r="Q25" s="38" t="s">
        <v>20</v>
      </c>
      <c r="R25" s="35" t="b">
        <v>0</v>
      </c>
    </row>
    <row r="26" spans="2:18" x14ac:dyDescent="0.2">
      <c r="B26" s="30"/>
      <c r="C26" s="36"/>
      <c r="D26" t="s">
        <v>43</v>
      </c>
      <c r="L26" s="32"/>
      <c r="M26" s="32"/>
      <c r="N26" s="32"/>
      <c r="O26" s="32"/>
      <c r="P26" s="33">
        <v>0</v>
      </c>
      <c r="Q26" s="38" t="s">
        <v>20</v>
      </c>
      <c r="R26" s="35" t="b">
        <v>0</v>
      </c>
    </row>
    <row r="27" spans="2:18" x14ac:dyDescent="0.2">
      <c r="B27" s="21">
        <v>3</v>
      </c>
      <c r="C27" s="22" t="s">
        <v>44</v>
      </c>
      <c r="D27" s="23"/>
      <c r="E27" s="23"/>
      <c r="F27" s="23"/>
      <c r="G27" s="23"/>
      <c r="H27" s="23"/>
      <c r="I27" s="23"/>
      <c r="J27" s="23"/>
      <c r="K27" s="23"/>
      <c r="L27" s="39"/>
      <c r="M27" s="26"/>
      <c r="N27" s="26"/>
      <c r="O27" s="26"/>
      <c r="P27" s="48">
        <f>SUM(P28:P32)</f>
        <v>0</v>
      </c>
      <c r="Q27" s="41"/>
      <c r="R27" s="49"/>
    </row>
    <row r="28" spans="2:18" x14ac:dyDescent="0.2">
      <c r="B28" s="30"/>
      <c r="C28" s="36"/>
      <c r="D28" t="s">
        <v>45</v>
      </c>
      <c r="L28" s="32">
        <v>2</v>
      </c>
      <c r="M28" s="32">
        <v>4</v>
      </c>
      <c r="N28" s="37"/>
      <c r="O28" s="32"/>
      <c r="P28" s="33">
        <v>0</v>
      </c>
      <c r="Q28" s="38" t="s">
        <v>20</v>
      </c>
      <c r="R28" s="35" t="b">
        <v>0</v>
      </c>
    </row>
    <row r="29" spans="2:18" x14ac:dyDescent="0.2">
      <c r="B29" s="30"/>
      <c r="C29" s="36"/>
      <c r="D29" s="46" t="s">
        <v>46</v>
      </c>
      <c r="L29" s="32">
        <v>2</v>
      </c>
      <c r="M29" s="32">
        <v>4</v>
      </c>
      <c r="N29" s="37"/>
      <c r="O29" s="32"/>
      <c r="P29" s="33">
        <v>0</v>
      </c>
      <c r="Q29" s="38" t="s">
        <v>20</v>
      </c>
      <c r="R29" s="35" t="b">
        <v>0</v>
      </c>
    </row>
    <row r="30" spans="2:18" x14ac:dyDescent="0.2">
      <c r="B30" s="30"/>
      <c r="C30" s="36"/>
      <c r="D30" t="s">
        <v>47</v>
      </c>
      <c r="L30" s="32">
        <v>1</v>
      </c>
      <c r="M30" s="32">
        <v>2</v>
      </c>
      <c r="N30" s="37"/>
      <c r="O30" s="32"/>
      <c r="P30" s="33">
        <v>0</v>
      </c>
      <c r="Q30" s="38" t="s">
        <v>20</v>
      </c>
      <c r="R30" s="35" t="b">
        <v>0</v>
      </c>
    </row>
    <row r="31" spans="2:18" x14ac:dyDescent="0.2">
      <c r="B31" s="30"/>
      <c r="C31" s="36"/>
      <c r="D31" t="s">
        <v>48</v>
      </c>
      <c r="L31" s="32">
        <v>2</v>
      </c>
      <c r="M31" s="32">
        <v>2</v>
      </c>
      <c r="N31" s="37"/>
      <c r="O31" s="32"/>
      <c r="P31" s="33">
        <v>0</v>
      </c>
      <c r="Q31" s="38" t="s">
        <v>20</v>
      </c>
      <c r="R31" s="35" t="b">
        <v>0</v>
      </c>
    </row>
    <row r="32" spans="2:18" x14ac:dyDescent="0.2">
      <c r="B32" s="30"/>
      <c r="C32" s="36"/>
      <c r="D32" t="s">
        <v>49</v>
      </c>
      <c r="L32" s="32"/>
      <c r="M32" s="32"/>
      <c r="N32" s="32"/>
      <c r="O32" s="32"/>
      <c r="P32" s="33">
        <v>0</v>
      </c>
      <c r="Q32" s="34" t="s">
        <v>18</v>
      </c>
      <c r="R32" s="35" t="b">
        <v>0</v>
      </c>
    </row>
    <row r="33" spans="2:18" x14ac:dyDescent="0.2">
      <c r="B33" s="21">
        <v>4</v>
      </c>
      <c r="C33" s="22" t="s">
        <v>50</v>
      </c>
      <c r="D33" s="23"/>
      <c r="E33" s="23"/>
      <c r="F33" s="23"/>
      <c r="G33" s="23"/>
      <c r="H33" s="23"/>
      <c r="I33" s="23"/>
      <c r="J33" s="23"/>
      <c r="K33" s="23"/>
      <c r="L33" s="39"/>
      <c r="M33" s="26"/>
      <c r="N33" s="26"/>
      <c r="O33" s="22"/>
      <c r="P33" s="22">
        <f>SUM(P34:P38)</f>
        <v>0</v>
      </c>
      <c r="Q33" s="41"/>
      <c r="R33" s="49"/>
    </row>
    <row r="34" spans="2:18" x14ac:dyDescent="0.2">
      <c r="B34" s="30"/>
      <c r="C34" s="36"/>
      <c r="D34" t="s">
        <v>51</v>
      </c>
      <c r="L34" s="32"/>
      <c r="M34" s="32"/>
      <c r="N34" s="32"/>
      <c r="O34" s="32"/>
      <c r="P34" s="33">
        <f>N34*M34*L34</f>
        <v>0</v>
      </c>
      <c r="Q34" s="34" t="s">
        <v>52</v>
      </c>
      <c r="R34" s="35" t="b">
        <v>0</v>
      </c>
    </row>
    <row r="35" spans="2:18" x14ac:dyDescent="0.2">
      <c r="B35" s="30"/>
      <c r="C35" s="36"/>
      <c r="D35" t="s">
        <v>53</v>
      </c>
      <c r="L35" s="32"/>
      <c r="M35" s="32"/>
      <c r="N35" s="32"/>
      <c r="O35" s="32"/>
      <c r="P35" s="33">
        <f>N35*M35*L35</f>
        <v>0</v>
      </c>
      <c r="Q35" s="34" t="s">
        <v>52</v>
      </c>
      <c r="R35" s="35" t="b">
        <v>0</v>
      </c>
    </row>
    <row r="36" spans="2:18" x14ac:dyDescent="0.2">
      <c r="B36" s="30"/>
      <c r="C36" s="36"/>
      <c r="D36" t="s">
        <v>54</v>
      </c>
      <c r="L36" s="32"/>
      <c r="M36" s="32"/>
      <c r="N36" s="32"/>
      <c r="O36" s="32"/>
      <c r="P36" s="33">
        <f>N36*M36*L36</f>
        <v>0</v>
      </c>
      <c r="Q36" s="34" t="s">
        <v>55</v>
      </c>
      <c r="R36" s="35" t="b">
        <v>0</v>
      </c>
    </row>
    <row r="37" spans="2:18" x14ac:dyDescent="0.2">
      <c r="B37" s="30"/>
      <c r="C37" s="36"/>
      <c r="D37" t="s">
        <v>56</v>
      </c>
      <c r="L37" s="32"/>
      <c r="M37" s="32"/>
      <c r="N37" s="32"/>
      <c r="O37" s="32"/>
      <c r="P37" s="33">
        <f>N37*M37*L37</f>
        <v>0</v>
      </c>
      <c r="Q37" s="34" t="s">
        <v>18</v>
      </c>
      <c r="R37" s="35" t="b">
        <v>0</v>
      </c>
    </row>
    <row r="38" spans="2:18" x14ac:dyDescent="0.2">
      <c r="B38" s="30"/>
      <c r="C38" s="36"/>
      <c r="D38" t="s">
        <v>57</v>
      </c>
      <c r="L38" s="32"/>
      <c r="M38" s="32"/>
      <c r="N38" s="32"/>
      <c r="O38" s="32"/>
      <c r="P38" s="33">
        <f>N38*M38*L38</f>
        <v>0</v>
      </c>
      <c r="Q38" s="34" t="s">
        <v>58</v>
      </c>
      <c r="R38" s="35" t="b">
        <v>0</v>
      </c>
    </row>
    <row r="39" spans="2:18" x14ac:dyDescent="0.2">
      <c r="B39" s="21">
        <v>5</v>
      </c>
      <c r="C39" s="22" t="s">
        <v>59</v>
      </c>
      <c r="D39" s="23"/>
      <c r="E39" s="23"/>
      <c r="F39" s="23"/>
      <c r="G39" s="23"/>
      <c r="H39" s="23"/>
      <c r="I39" s="23"/>
      <c r="J39" s="23"/>
      <c r="K39" s="23"/>
      <c r="L39" s="39"/>
      <c r="M39" s="26"/>
      <c r="N39" s="26"/>
      <c r="O39" s="22"/>
      <c r="P39" s="22">
        <f>SUM(P40:P43)</f>
        <v>0</v>
      </c>
      <c r="Q39" s="41"/>
      <c r="R39" s="49"/>
    </row>
    <row r="40" spans="2:18" x14ac:dyDescent="0.2">
      <c r="B40" s="30"/>
      <c r="C40" s="36"/>
      <c r="D40" t="s">
        <v>60</v>
      </c>
      <c r="L40" s="32"/>
      <c r="M40" s="32"/>
      <c r="N40" s="32"/>
      <c r="O40" s="32"/>
      <c r="P40" s="33">
        <f>N40*M40*L40</f>
        <v>0</v>
      </c>
      <c r="Q40" s="50" t="s">
        <v>18</v>
      </c>
      <c r="R40" s="35" t="b">
        <v>0</v>
      </c>
    </row>
    <row r="41" spans="2:18" x14ac:dyDescent="0.2">
      <c r="B41" s="30"/>
      <c r="C41" s="36"/>
      <c r="D41" t="s">
        <v>61</v>
      </c>
      <c r="L41" s="32"/>
      <c r="M41" s="32"/>
      <c r="N41" s="32"/>
      <c r="O41" s="32"/>
      <c r="P41" s="33">
        <f>N41*M41*L41</f>
        <v>0</v>
      </c>
      <c r="Q41" s="50" t="s">
        <v>18</v>
      </c>
      <c r="R41" s="35" t="b">
        <v>0</v>
      </c>
    </row>
    <row r="42" spans="2:18" x14ac:dyDescent="0.2">
      <c r="B42" s="30"/>
      <c r="C42" s="36"/>
      <c r="D42" t="s">
        <v>62</v>
      </c>
      <c r="L42" s="32"/>
      <c r="M42" s="32"/>
      <c r="N42" s="32"/>
      <c r="O42" s="32"/>
      <c r="P42" s="33">
        <f>N42*M42*L42</f>
        <v>0</v>
      </c>
      <c r="Q42" s="50" t="s">
        <v>18</v>
      </c>
      <c r="R42" s="35" t="b">
        <v>0</v>
      </c>
    </row>
    <row r="43" spans="2:18" x14ac:dyDescent="0.2">
      <c r="B43" s="30"/>
      <c r="C43" s="36"/>
      <c r="D43" t="s">
        <v>63</v>
      </c>
      <c r="L43" s="32">
        <v>0</v>
      </c>
      <c r="M43" s="32"/>
      <c r="N43" s="32"/>
      <c r="O43" s="32"/>
      <c r="P43" s="33">
        <f>N43*M43*L43</f>
        <v>0</v>
      </c>
      <c r="Q43" s="50" t="s">
        <v>18</v>
      </c>
      <c r="R43" s="35" t="b">
        <v>0</v>
      </c>
    </row>
    <row r="44" spans="2:18" x14ac:dyDescent="0.2">
      <c r="B44" s="21">
        <v>6</v>
      </c>
      <c r="C44" s="22" t="s">
        <v>64</v>
      </c>
      <c r="D44" s="23"/>
      <c r="E44" s="23"/>
      <c r="F44" s="23"/>
      <c r="G44" s="23"/>
      <c r="H44" s="23"/>
      <c r="I44" s="23"/>
      <c r="J44" s="23"/>
      <c r="K44" s="23"/>
      <c r="L44" s="39"/>
      <c r="M44" s="26"/>
      <c r="N44" s="26"/>
      <c r="O44" s="26"/>
      <c r="P44" s="48">
        <f>SUM(P45:P56)</f>
        <v>0</v>
      </c>
      <c r="Q44" s="22"/>
      <c r="R44" s="49"/>
    </row>
    <row r="45" spans="2:18" x14ac:dyDescent="0.2">
      <c r="B45" s="30"/>
      <c r="C45" s="36"/>
      <c r="D45" t="s">
        <v>65</v>
      </c>
      <c r="L45" s="32">
        <v>1</v>
      </c>
      <c r="M45" s="32">
        <v>5</v>
      </c>
      <c r="N45" s="32"/>
      <c r="O45" s="32"/>
      <c r="P45" s="33">
        <v>0</v>
      </c>
      <c r="Q45" s="38" t="s">
        <v>20</v>
      </c>
      <c r="R45" s="35" t="b">
        <v>0</v>
      </c>
    </row>
    <row r="46" spans="2:18" x14ac:dyDescent="0.2">
      <c r="B46" s="30"/>
      <c r="C46" s="36"/>
      <c r="D46" t="s">
        <v>66</v>
      </c>
      <c r="L46" s="32">
        <v>2</v>
      </c>
      <c r="M46" s="32">
        <v>2</v>
      </c>
      <c r="N46" s="32"/>
      <c r="O46" s="32"/>
      <c r="P46" s="33">
        <v>0</v>
      </c>
      <c r="Q46" s="38" t="s">
        <v>20</v>
      </c>
      <c r="R46" s="35" t="b">
        <v>0</v>
      </c>
    </row>
    <row r="47" spans="2:18" x14ac:dyDescent="0.2">
      <c r="B47" s="30"/>
      <c r="C47" s="36"/>
      <c r="D47" t="s">
        <v>67</v>
      </c>
      <c r="L47" s="32"/>
      <c r="M47" s="32"/>
      <c r="N47" s="32"/>
      <c r="O47" s="32"/>
      <c r="P47" s="33">
        <v>0</v>
      </c>
      <c r="Q47" s="38" t="s">
        <v>20</v>
      </c>
      <c r="R47" s="35"/>
    </row>
    <row r="48" spans="2:18" x14ac:dyDescent="0.2">
      <c r="B48" s="30"/>
      <c r="C48" s="36"/>
      <c r="D48" t="s">
        <v>68</v>
      </c>
      <c r="L48" s="32"/>
      <c r="M48" s="32"/>
      <c r="N48" s="32"/>
      <c r="O48" s="32"/>
      <c r="P48" s="33">
        <v>0</v>
      </c>
      <c r="Q48" s="38" t="s">
        <v>20</v>
      </c>
      <c r="R48" s="35" t="b">
        <v>0</v>
      </c>
    </row>
    <row r="49" spans="2:18" x14ac:dyDescent="0.2">
      <c r="B49" s="30"/>
      <c r="C49" s="36"/>
      <c r="D49" s="44" t="s">
        <v>31</v>
      </c>
      <c r="E49" s="44"/>
      <c r="G49">
        <v>1</v>
      </c>
      <c r="H49" t="s">
        <v>32</v>
      </c>
      <c r="L49" s="32">
        <v>2</v>
      </c>
      <c r="M49" s="32">
        <v>6</v>
      </c>
      <c r="N49" s="32"/>
      <c r="O49" s="32"/>
      <c r="P49" s="33">
        <v>0</v>
      </c>
      <c r="Q49" s="38" t="s">
        <v>20</v>
      </c>
      <c r="R49" s="35" t="b">
        <v>0</v>
      </c>
    </row>
    <row r="50" spans="2:18" x14ac:dyDescent="0.2">
      <c r="B50" s="30"/>
      <c r="C50" s="36"/>
      <c r="D50" s="44" t="s">
        <v>33</v>
      </c>
      <c r="E50" s="44"/>
      <c r="G50">
        <v>1</v>
      </c>
      <c r="H50" t="s">
        <v>32</v>
      </c>
      <c r="L50" s="32">
        <v>2</v>
      </c>
      <c r="M50" s="32">
        <v>3</v>
      </c>
      <c r="N50" s="32"/>
      <c r="O50" s="32"/>
      <c r="P50" s="33">
        <v>0</v>
      </c>
      <c r="Q50" s="38" t="s">
        <v>20</v>
      </c>
      <c r="R50" s="35" t="b">
        <v>0</v>
      </c>
    </row>
    <row r="51" spans="2:18" x14ac:dyDescent="0.2">
      <c r="B51" s="30"/>
      <c r="C51" s="36"/>
      <c r="D51" s="45" t="s">
        <v>35</v>
      </c>
      <c r="E51" s="45"/>
      <c r="G51">
        <v>6</v>
      </c>
      <c r="H51" t="s">
        <v>32</v>
      </c>
      <c r="L51" s="32">
        <v>2</v>
      </c>
      <c r="M51" s="32">
        <v>6</v>
      </c>
      <c r="N51" s="32"/>
      <c r="O51" s="32"/>
      <c r="P51" s="33">
        <v>0</v>
      </c>
      <c r="Q51" s="38" t="s">
        <v>20</v>
      </c>
      <c r="R51" s="35" t="b">
        <v>0</v>
      </c>
    </row>
    <row r="52" spans="2:18" x14ac:dyDescent="0.2">
      <c r="B52" s="30"/>
      <c r="C52" s="36"/>
      <c r="D52" s="45" t="s">
        <v>36</v>
      </c>
      <c r="E52" s="45"/>
      <c r="G52" s="46">
        <v>1</v>
      </c>
      <c r="H52" s="46" t="s">
        <v>32</v>
      </c>
      <c r="L52" s="32">
        <v>2</v>
      </c>
      <c r="M52" s="32">
        <v>7</v>
      </c>
      <c r="N52" s="32"/>
      <c r="P52" s="33">
        <v>0</v>
      </c>
      <c r="Q52" s="38" t="s">
        <v>20</v>
      </c>
      <c r="R52" s="35" t="b">
        <v>0</v>
      </c>
    </row>
    <row r="53" spans="2:18" x14ac:dyDescent="0.2">
      <c r="B53" s="30"/>
      <c r="C53" s="36"/>
      <c r="D53" s="45" t="s">
        <v>37</v>
      </c>
      <c r="E53" s="45"/>
      <c r="G53" s="46">
        <v>1</v>
      </c>
      <c r="H53" s="46" t="s">
        <v>32</v>
      </c>
      <c r="L53" s="32">
        <v>2</v>
      </c>
      <c r="M53" s="32">
        <v>5</v>
      </c>
      <c r="N53" s="32"/>
      <c r="O53" s="32"/>
      <c r="P53" s="33">
        <v>0</v>
      </c>
      <c r="Q53" s="38" t="s">
        <v>20</v>
      </c>
      <c r="R53" s="35" t="b">
        <v>0</v>
      </c>
    </row>
    <row r="54" spans="2:18" x14ac:dyDescent="0.2">
      <c r="B54" s="30"/>
      <c r="C54" s="36"/>
      <c r="D54" s="45" t="s">
        <v>38</v>
      </c>
      <c r="E54" s="45"/>
      <c r="G54" s="46">
        <v>1</v>
      </c>
      <c r="H54" s="46" t="s">
        <v>32</v>
      </c>
      <c r="L54" s="32">
        <v>2</v>
      </c>
      <c r="M54" s="32">
        <v>5</v>
      </c>
      <c r="N54" s="32"/>
      <c r="O54" s="32"/>
      <c r="P54" s="33">
        <v>0</v>
      </c>
      <c r="Q54" s="38" t="s">
        <v>20</v>
      </c>
      <c r="R54" s="35" t="b">
        <v>0</v>
      </c>
    </row>
    <row r="55" spans="2:18" x14ac:dyDescent="0.2">
      <c r="B55" s="30"/>
      <c r="C55" s="36"/>
      <c r="D55" s="45" t="s">
        <v>39</v>
      </c>
      <c r="E55" s="45"/>
      <c r="G55" s="46">
        <v>1</v>
      </c>
      <c r="H55" s="46" t="s">
        <v>32</v>
      </c>
      <c r="L55" s="32">
        <v>2</v>
      </c>
      <c r="M55" s="32">
        <v>5</v>
      </c>
      <c r="N55" s="32"/>
      <c r="O55" s="32"/>
      <c r="P55" s="33">
        <v>0</v>
      </c>
      <c r="Q55" s="38" t="s">
        <v>20</v>
      </c>
      <c r="R55" s="35" t="b">
        <v>0</v>
      </c>
    </row>
    <row r="56" spans="2:18" x14ac:dyDescent="0.2">
      <c r="B56" s="30"/>
      <c r="C56" s="36"/>
      <c r="D56" s="44" t="s">
        <v>69</v>
      </c>
      <c r="E56" s="44"/>
      <c r="G56" s="46">
        <v>6</v>
      </c>
      <c r="H56" s="46" t="s">
        <v>32</v>
      </c>
      <c r="L56" s="32">
        <v>2</v>
      </c>
      <c r="M56" s="32">
        <v>5</v>
      </c>
      <c r="N56" s="32"/>
      <c r="O56" s="32"/>
      <c r="P56" s="33">
        <v>0</v>
      </c>
      <c r="Q56" s="38" t="s">
        <v>20</v>
      </c>
      <c r="R56" s="35" t="b">
        <v>0</v>
      </c>
    </row>
    <row r="57" spans="2:18" x14ac:dyDescent="0.2">
      <c r="B57" s="21">
        <v>7</v>
      </c>
      <c r="C57" s="22" t="s">
        <v>70</v>
      </c>
      <c r="D57" s="23"/>
      <c r="E57" s="23"/>
      <c r="F57" s="23"/>
      <c r="G57" s="23"/>
      <c r="H57" s="23"/>
      <c r="I57" s="23"/>
      <c r="J57" s="23"/>
      <c r="K57" s="23"/>
      <c r="L57" s="39"/>
      <c r="M57" s="26"/>
      <c r="N57" s="26"/>
      <c r="O57" s="26"/>
      <c r="P57" s="48">
        <v>0</v>
      </c>
      <c r="Q57" s="22"/>
      <c r="R57" s="49"/>
    </row>
    <row r="58" spans="2:18" x14ac:dyDescent="0.2">
      <c r="B58" s="30"/>
      <c r="C58" s="36"/>
      <c r="D58" t="s">
        <v>71</v>
      </c>
      <c r="L58" s="32">
        <v>2</v>
      </c>
      <c r="M58" s="32">
        <v>10</v>
      </c>
      <c r="N58" s="32"/>
      <c r="O58" s="32"/>
      <c r="P58" s="33">
        <v>0</v>
      </c>
      <c r="Q58" s="38" t="s">
        <v>20</v>
      </c>
      <c r="R58" s="35" t="b">
        <v>0</v>
      </c>
    </row>
    <row r="59" spans="2:18" x14ac:dyDescent="0.2">
      <c r="B59" s="30"/>
      <c r="C59" s="36"/>
      <c r="D59" t="s">
        <v>72</v>
      </c>
      <c r="L59" s="32">
        <v>2</v>
      </c>
      <c r="M59" s="32">
        <v>14</v>
      </c>
      <c r="N59" s="32"/>
      <c r="O59" s="32"/>
      <c r="P59" s="33">
        <v>0</v>
      </c>
      <c r="Q59" s="38" t="s">
        <v>20</v>
      </c>
      <c r="R59" s="35" t="b">
        <v>0</v>
      </c>
    </row>
    <row r="60" spans="2:18" x14ac:dyDescent="0.2">
      <c r="B60" s="30"/>
      <c r="C60" s="36"/>
      <c r="D60" t="s">
        <v>73</v>
      </c>
      <c r="L60" s="32">
        <v>1</v>
      </c>
      <c r="M60" s="32">
        <v>2</v>
      </c>
      <c r="N60" s="32"/>
      <c r="O60" s="32"/>
      <c r="P60" s="33">
        <v>0</v>
      </c>
      <c r="Q60" s="38" t="s">
        <v>20</v>
      </c>
      <c r="R60" s="35" t="b">
        <v>0</v>
      </c>
    </row>
    <row r="61" spans="2:18" x14ac:dyDescent="0.2">
      <c r="B61" s="21">
        <v>8</v>
      </c>
      <c r="C61" s="22" t="s">
        <v>74</v>
      </c>
      <c r="D61" s="23"/>
      <c r="E61" s="23"/>
      <c r="F61" s="23"/>
      <c r="G61" s="23"/>
      <c r="H61" s="23"/>
      <c r="I61" s="23"/>
      <c r="J61" s="23"/>
      <c r="K61" s="23"/>
      <c r="L61" s="39"/>
      <c r="M61" s="26"/>
      <c r="N61" s="26"/>
      <c r="O61" s="26"/>
      <c r="P61" s="48">
        <v>0</v>
      </c>
      <c r="Q61" s="22"/>
      <c r="R61" s="51"/>
    </row>
    <row r="62" spans="2:18" x14ac:dyDescent="0.2">
      <c r="B62" s="52"/>
      <c r="D62" t="s">
        <v>75</v>
      </c>
      <c r="L62" s="32">
        <v>1</v>
      </c>
      <c r="M62" s="32">
        <v>2</v>
      </c>
      <c r="N62" s="32"/>
      <c r="O62" s="32"/>
      <c r="P62" s="33">
        <v>0</v>
      </c>
      <c r="Q62" s="38" t="s">
        <v>20</v>
      </c>
      <c r="R62" s="35" t="b">
        <v>0</v>
      </c>
    </row>
    <row r="63" spans="2:18" x14ac:dyDescent="0.2">
      <c r="B63" s="52"/>
      <c r="D63" t="s">
        <v>76</v>
      </c>
      <c r="L63" s="32">
        <v>1</v>
      </c>
      <c r="M63" s="32">
        <v>2</v>
      </c>
      <c r="N63" s="32"/>
      <c r="O63" s="32"/>
      <c r="P63" s="33">
        <v>0</v>
      </c>
      <c r="Q63" s="38" t="s">
        <v>20</v>
      </c>
      <c r="R63" s="35" t="b">
        <v>0</v>
      </c>
    </row>
    <row r="64" spans="2:18" x14ac:dyDescent="0.2">
      <c r="B64" s="52"/>
      <c r="D64" t="s">
        <v>74</v>
      </c>
      <c r="L64" s="32">
        <v>1</v>
      </c>
      <c r="M64" s="32">
        <v>4</v>
      </c>
      <c r="N64" s="32"/>
      <c r="O64" s="32"/>
      <c r="P64" s="33">
        <v>0</v>
      </c>
      <c r="Q64" s="38" t="s">
        <v>20</v>
      </c>
      <c r="R64" s="35" t="b">
        <v>0</v>
      </c>
    </row>
    <row r="65" spans="2:19" x14ac:dyDescent="0.2">
      <c r="B65" s="52"/>
      <c r="D65" t="s">
        <v>77</v>
      </c>
      <c r="L65" s="32">
        <v>1</v>
      </c>
      <c r="M65" s="32"/>
      <c r="N65" s="32"/>
      <c r="O65" s="32"/>
      <c r="P65" s="33">
        <v>0</v>
      </c>
      <c r="Q65" s="38" t="s">
        <v>20</v>
      </c>
      <c r="R65" s="35" t="b">
        <v>0</v>
      </c>
    </row>
    <row r="66" spans="2:19" x14ac:dyDescent="0.2">
      <c r="B66" s="52"/>
      <c r="D66" t="s">
        <v>78</v>
      </c>
      <c r="L66" s="32">
        <v>1</v>
      </c>
      <c r="M66" s="32">
        <v>2</v>
      </c>
      <c r="N66" s="32"/>
      <c r="O66" s="32"/>
      <c r="P66" s="33">
        <v>0</v>
      </c>
      <c r="Q66" s="38" t="s">
        <v>20</v>
      </c>
      <c r="R66" s="35" t="b">
        <v>0</v>
      </c>
    </row>
    <row r="67" spans="2:19" x14ac:dyDescent="0.2">
      <c r="B67" s="52"/>
      <c r="D67" t="s">
        <v>79</v>
      </c>
      <c r="L67" s="32">
        <v>1</v>
      </c>
      <c r="M67" s="32"/>
      <c r="N67" s="32"/>
      <c r="O67" s="32"/>
      <c r="P67" s="33">
        <v>0</v>
      </c>
      <c r="Q67" s="38" t="s">
        <v>20</v>
      </c>
      <c r="R67" s="35" t="b">
        <v>0</v>
      </c>
    </row>
    <row r="68" spans="2:19" x14ac:dyDescent="0.2">
      <c r="B68" s="53">
        <v>9</v>
      </c>
      <c r="C68" s="54" t="s">
        <v>80</v>
      </c>
      <c r="D68" s="55"/>
      <c r="E68" s="55"/>
      <c r="F68" s="55"/>
      <c r="G68" s="55"/>
      <c r="H68" s="55"/>
      <c r="I68" s="55"/>
      <c r="J68" s="55"/>
      <c r="K68" s="55"/>
      <c r="L68" s="56"/>
      <c r="M68" s="55"/>
      <c r="N68" s="55"/>
      <c r="O68" s="26"/>
      <c r="P68" s="48">
        <v>0</v>
      </c>
      <c r="Q68" s="55"/>
      <c r="R68" s="57"/>
    </row>
    <row r="69" spans="2:19" ht="38.25" x14ac:dyDescent="0.2">
      <c r="B69" s="30"/>
      <c r="C69" s="36"/>
      <c r="D69" s="58" t="s">
        <v>81</v>
      </c>
      <c r="E69" s="58"/>
      <c r="F69" s="58"/>
      <c r="G69" s="58"/>
      <c r="H69" s="58"/>
      <c r="L69" s="59">
        <v>1</v>
      </c>
      <c r="M69" s="59">
        <v>4</v>
      </c>
      <c r="N69" s="59"/>
      <c r="O69" s="59"/>
      <c r="P69" s="100">
        <v>0</v>
      </c>
      <c r="Q69" s="92" t="s">
        <v>20</v>
      </c>
      <c r="R69" s="35" t="b">
        <v>0</v>
      </c>
      <c r="S69" s="99"/>
    </row>
    <row r="70" spans="2:19" x14ac:dyDescent="0.2">
      <c r="B70" s="52"/>
      <c r="D70" t="s">
        <v>82</v>
      </c>
      <c r="L70" s="32">
        <v>1</v>
      </c>
      <c r="M70" s="32">
        <v>2</v>
      </c>
      <c r="N70" s="32"/>
      <c r="O70" s="32"/>
      <c r="P70" s="33">
        <v>0</v>
      </c>
      <c r="Q70" s="38" t="s">
        <v>20</v>
      </c>
      <c r="R70" s="35" t="b">
        <v>0</v>
      </c>
    </row>
    <row r="71" spans="2:19" x14ac:dyDescent="0.2">
      <c r="B71" s="60" t="s">
        <v>83</v>
      </c>
      <c r="C71" s="23"/>
      <c r="D71" s="23"/>
      <c r="E71" s="23"/>
      <c r="F71" s="23"/>
      <c r="G71" s="23"/>
      <c r="H71" s="23"/>
      <c r="I71" s="23"/>
      <c r="J71" s="23"/>
      <c r="K71" s="23"/>
      <c r="L71" s="26" t="s">
        <v>84</v>
      </c>
      <c r="M71" s="26"/>
      <c r="N71" s="26"/>
      <c r="O71" s="26"/>
      <c r="P71" s="48">
        <f>P61+P57+P44+P39+P33+P27+P11+P3+P68</f>
        <v>0</v>
      </c>
      <c r="Q71" s="22"/>
      <c r="R71" s="55"/>
    </row>
    <row r="72" spans="2:19" x14ac:dyDescent="0.2">
      <c r="B72" s="52"/>
      <c r="C72" s="103" t="s">
        <v>85</v>
      </c>
      <c r="D72" s="103"/>
      <c r="E72" s="61"/>
      <c r="F72" s="61"/>
      <c r="G72" s="61"/>
      <c r="H72" s="61"/>
      <c r="I72" s="62"/>
      <c r="J72" s="62"/>
      <c r="K72" s="62"/>
      <c r="L72" s="52"/>
      <c r="M72" s="52"/>
      <c r="N72" s="52"/>
      <c r="O72" s="52"/>
      <c r="R72" s="63"/>
    </row>
    <row r="73" spans="2:19" x14ac:dyDescent="0.2">
      <c r="B73" s="52"/>
      <c r="C73" s="103"/>
      <c r="D73" s="103"/>
      <c r="E73" s="61"/>
      <c r="F73" s="61"/>
      <c r="G73" s="61"/>
      <c r="H73" s="61"/>
      <c r="L73" s="52"/>
      <c r="M73" s="52"/>
      <c r="N73" s="52"/>
      <c r="O73" s="52"/>
      <c r="R73" s="63"/>
    </row>
  </sheetData>
  <mergeCells count="8">
    <mergeCell ref="D8:F8"/>
    <mergeCell ref="C72:D73"/>
    <mergeCell ref="B1:C1"/>
    <mergeCell ref="H2:I2"/>
    <mergeCell ref="D4:F4"/>
    <mergeCell ref="D5:F5"/>
    <mergeCell ref="D6:F6"/>
    <mergeCell ref="D7:F7"/>
  </mergeCells>
  <conditionalFormatting sqref="F1">
    <cfRule type="expression" dxfId="7" priority="2">
      <formula>#REF!&gt;15</formula>
    </cfRule>
  </conditionalFormatting>
  <conditionalFormatting sqref="H1">
    <cfRule type="expression" dxfId="6" priority="1">
      <formula>#REF!&gt;$O$3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010B-9DDF-4462-9F8A-ACE4755AEB54}">
  <dimension ref="B1:R73"/>
  <sheetViews>
    <sheetView workbookViewId="0">
      <selection activeCell="K7" sqref="K7"/>
    </sheetView>
  </sheetViews>
  <sheetFormatPr defaultRowHeight="12.75" x14ac:dyDescent="0.2"/>
  <sheetData>
    <row r="1" spans="2:18" ht="39" thickBot="1" x14ac:dyDescent="0.25">
      <c r="B1" s="108" t="s">
        <v>107</v>
      </c>
      <c r="C1" s="108"/>
      <c r="D1" s="85" t="s">
        <v>92</v>
      </c>
      <c r="E1" s="86" t="s">
        <v>0</v>
      </c>
      <c r="F1" s="87"/>
      <c r="G1" s="4" t="s">
        <v>93</v>
      </c>
      <c r="H1" s="5">
        <f>SUM(O4:O70)</f>
        <v>0</v>
      </c>
      <c r="I1" s="4" t="s">
        <v>2</v>
      </c>
      <c r="J1" s="6">
        <f>SUM(P71-H1)</f>
        <v>0</v>
      </c>
      <c r="K1" s="75" t="s">
        <v>3</v>
      </c>
      <c r="L1" s="88">
        <f>(COUNTA(O4:O32)/COUNTA(D4:D32))*100%</f>
        <v>1</v>
      </c>
      <c r="M1" s="75" t="s">
        <v>4</v>
      </c>
      <c r="N1" s="76">
        <f>(COUNTA(N45:N70)/COUNTA(D45:D70))*100%</f>
        <v>0</v>
      </c>
      <c r="O1" s="75" t="s">
        <v>5</v>
      </c>
      <c r="P1" s="76">
        <f>(COUNTA(N34:N43)/COUNTA(D34:D43))*100%</f>
        <v>0</v>
      </c>
      <c r="Q1" s="75" t="s">
        <v>6</v>
      </c>
      <c r="R1" s="89"/>
    </row>
    <row r="2" spans="2:18" ht="63.75" x14ac:dyDescent="0.2">
      <c r="B2" s="15" t="s">
        <v>7</v>
      </c>
      <c r="C2" s="15"/>
      <c r="D2" s="15"/>
      <c r="E2" s="15"/>
      <c r="F2" s="15"/>
      <c r="G2" s="72" t="s">
        <v>8</v>
      </c>
      <c r="H2" s="109"/>
      <c r="I2" s="110"/>
      <c r="J2" s="17"/>
      <c r="K2" s="17"/>
      <c r="L2" s="59" t="s">
        <v>9</v>
      </c>
      <c r="M2" s="90" t="s">
        <v>10</v>
      </c>
      <c r="N2" s="59" t="s">
        <v>11</v>
      </c>
      <c r="O2" s="90" t="s">
        <v>12</v>
      </c>
      <c r="P2" s="59" t="s">
        <v>13</v>
      </c>
      <c r="Q2" s="91" t="s">
        <v>14</v>
      </c>
      <c r="R2" s="91" t="s">
        <v>15</v>
      </c>
    </row>
    <row r="3" spans="2:18" x14ac:dyDescent="0.2">
      <c r="B3" s="21">
        <v>1</v>
      </c>
      <c r="C3" s="22" t="s">
        <v>16</v>
      </c>
      <c r="D3" s="23"/>
      <c r="E3" s="23"/>
      <c r="F3" s="23"/>
      <c r="G3" s="23"/>
      <c r="H3" s="23"/>
      <c r="I3" s="23"/>
      <c r="J3" s="23"/>
      <c r="K3" s="23"/>
      <c r="L3" s="24"/>
      <c r="M3" s="25"/>
      <c r="N3" s="25"/>
      <c r="O3" s="26"/>
      <c r="P3" s="27">
        <f>SUM(P4:P10)</f>
        <v>0</v>
      </c>
      <c r="Q3" s="28"/>
      <c r="R3" s="29"/>
    </row>
    <row r="4" spans="2:18" x14ac:dyDescent="0.2">
      <c r="B4" s="30"/>
      <c r="C4" s="31"/>
      <c r="D4" s="102" t="s">
        <v>17</v>
      </c>
      <c r="E4" s="102"/>
      <c r="F4" s="102"/>
      <c r="L4" s="32"/>
      <c r="M4" s="32"/>
      <c r="N4" s="32"/>
      <c r="O4" s="32">
        <v>0</v>
      </c>
      <c r="P4" s="33">
        <f>N4*M4*L4</f>
        <v>0</v>
      </c>
      <c r="Q4" s="34" t="s">
        <v>18</v>
      </c>
      <c r="R4" s="35" t="b">
        <v>0</v>
      </c>
    </row>
    <row r="5" spans="2:18" x14ac:dyDescent="0.2">
      <c r="B5" s="30"/>
      <c r="C5" s="36"/>
      <c r="D5" s="102" t="s">
        <v>19</v>
      </c>
      <c r="E5" s="102"/>
      <c r="F5" s="102"/>
      <c r="L5" s="32">
        <v>1</v>
      </c>
      <c r="M5" s="32">
        <v>1</v>
      </c>
      <c r="N5" s="37"/>
      <c r="O5" s="32">
        <v>0</v>
      </c>
      <c r="P5" s="33">
        <v>0</v>
      </c>
      <c r="Q5" s="38" t="s">
        <v>20</v>
      </c>
      <c r="R5" s="35" t="b">
        <v>0</v>
      </c>
    </row>
    <row r="6" spans="2:18" x14ac:dyDescent="0.2">
      <c r="B6" s="30"/>
      <c r="C6" s="36"/>
      <c r="D6" s="102" t="s">
        <v>21</v>
      </c>
      <c r="E6" s="102"/>
      <c r="F6" s="102"/>
      <c r="L6" s="32">
        <v>1</v>
      </c>
      <c r="M6" s="32">
        <v>2</v>
      </c>
      <c r="N6" s="32"/>
      <c r="O6" s="32">
        <v>0</v>
      </c>
      <c r="P6" s="33">
        <v>0</v>
      </c>
      <c r="Q6" s="38" t="s">
        <v>20</v>
      </c>
      <c r="R6" s="35" t="b">
        <v>0</v>
      </c>
    </row>
    <row r="7" spans="2:18" x14ac:dyDescent="0.2">
      <c r="B7" s="30"/>
      <c r="C7" s="36"/>
      <c r="D7" s="102" t="s">
        <v>22</v>
      </c>
      <c r="E7" s="102"/>
      <c r="F7" s="102"/>
      <c r="L7" s="32">
        <v>1</v>
      </c>
      <c r="M7" s="32">
        <v>2</v>
      </c>
      <c r="N7" s="32"/>
      <c r="O7" s="32">
        <v>0</v>
      </c>
      <c r="P7" s="33">
        <v>0</v>
      </c>
      <c r="Q7" s="38" t="s">
        <v>20</v>
      </c>
      <c r="R7" s="35" t="b">
        <v>0</v>
      </c>
    </row>
    <row r="8" spans="2:18" x14ac:dyDescent="0.2">
      <c r="B8" s="30"/>
      <c r="C8" s="31"/>
      <c r="D8" s="102" t="s">
        <v>23</v>
      </c>
      <c r="E8" s="102"/>
      <c r="F8" s="102"/>
      <c r="L8" s="32"/>
      <c r="M8" s="32"/>
      <c r="N8" s="32"/>
      <c r="O8" s="32">
        <v>0</v>
      </c>
      <c r="P8" s="33">
        <v>0</v>
      </c>
      <c r="Q8" s="34" t="s">
        <v>18</v>
      </c>
      <c r="R8" s="35" t="b">
        <v>0</v>
      </c>
    </row>
    <row r="9" spans="2:18" x14ac:dyDescent="0.2">
      <c r="B9" s="30"/>
      <c r="C9" s="36"/>
      <c r="D9" t="s">
        <v>25</v>
      </c>
      <c r="L9" s="32"/>
      <c r="M9" s="32"/>
      <c r="N9" s="37"/>
      <c r="O9" s="32">
        <v>0</v>
      </c>
      <c r="P9" s="33">
        <v>0</v>
      </c>
      <c r="Q9" s="38" t="s">
        <v>20</v>
      </c>
      <c r="R9" s="35" t="b">
        <v>0</v>
      </c>
    </row>
    <row r="10" spans="2:18" x14ac:dyDescent="0.2">
      <c r="B10" s="30"/>
      <c r="C10" s="36"/>
      <c r="D10" t="s">
        <v>26</v>
      </c>
      <c r="L10" s="32">
        <v>1</v>
      </c>
      <c r="M10" s="32">
        <v>6</v>
      </c>
      <c r="N10" s="32"/>
      <c r="O10" s="32">
        <v>0</v>
      </c>
      <c r="P10" s="33">
        <v>0</v>
      </c>
      <c r="Q10" s="38" t="s">
        <v>20</v>
      </c>
      <c r="R10" s="35" t="b">
        <v>0</v>
      </c>
    </row>
    <row r="11" spans="2:18" x14ac:dyDescent="0.2">
      <c r="B11" s="21">
        <v>2</v>
      </c>
      <c r="C11" s="22" t="s">
        <v>27</v>
      </c>
      <c r="D11" s="23"/>
      <c r="E11" s="23"/>
      <c r="F11" s="23"/>
      <c r="G11" s="23"/>
      <c r="H11" s="23"/>
      <c r="I11" s="23"/>
      <c r="J11" s="23"/>
      <c r="K11" s="23"/>
      <c r="L11" s="39"/>
      <c r="M11" s="26"/>
      <c r="N11" s="26"/>
      <c r="O11" s="26"/>
      <c r="P11" s="40">
        <f>SUM(P12:P26)</f>
        <v>0</v>
      </c>
      <c r="Q11" s="41"/>
      <c r="R11" s="42"/>
    </row>
    <row r="12" spans="2:18" x14ac:dyDescent="0.2">
      <c r="B12" s="30"/>
      <c r="C12" s="31"/>
      <c r="D12" t="s">
        <v>28</v>
      </c>
      <c r="L12" s="32">
        <v>1</v>
      </c>
      <c r="M12" s="32">
        <v>1</v>
      </c>
      <c r="N12" s="32" t="s">
        <v>97</v>
      </c>
      <c r="O12" s="32">
        <v>0</v>
      </c>
      <c r="P12" s="33">
        <v>0</v>
      </c>
      <c r="Q12" s="38" t="s">
        <v>20</v>
      </c>
      <c r="R12" s="35" t="b">
        <v>0</v>
      </c>
    </row>
    <row r="13" spans="2:18" x14ac:dyDescent="0.2">
      <c r="B13" s="30"/>
      <c r="C13" s="36"/>
      <c r="D13" t="s">
        <v>29</v>
      </c>
      <c r="L13" s="32">
        <v>2</v>
      </c>
      <c r="M13" s="32">
        <v>10</v>
      </c>
      <c r="N13" s="32"/>
      <c r="O13" s="32">
        <v>0</v>
      </c>
      <c r="P13" s="33">
        <v>0</v>
      </c>
      <c r="Q13" s="38" t="s">
        <v>20</v>
      </c>
      <c r="R13" s="35" t="b">
        <v>0</v>
      </c>
    </row>
    <row r="14" spans="2:18" x14ac:dyDescent="0.2">
      <c r="B14" s="30"/>
      <c r="C14" s="36"/>
      <c r="D14" t="s">
        <v>30</v>
      </c>
      <c r="L14" s="32"/>
      <c r="M14" s="32"/>
      <c r="N14" s="32"/>
      <c r="O14" s="32">
        <v>0</v>
      </c>
      <c r="P14" s="33">
        <v>0</v>
      </c>
      <c r="Q14" s="38" t="s">
        <v>20</v>
      </c>
      <c r="R14" s="35" t="b">
        <v>0</v>
      </c>
    </row>
    <row r="15" spans="2:18" x14ac:dyDescent="0.2">
      <c r="B15" s="30"/>
      <c r="C15" s="36"/>
      <c r="D15" s="44" t="s">
        <v>31</v>
      </c>
      <c r="E15" s="44"/>
      <c r="G15">
        <v>1</v>
      </c>
      <c r="H15" t="s">
        <v>32</v>
      </c>
      <c r="L15" s="32">
        <v>2</v>
      </c>
      <c r="M15" s="32">
        <v>6</v>
      </c>
      <c r="N15" s="32"/>
      <c r="O15" s="32">
        <v>0</v>
      </c>
      <c r="P15" s="33">
        <v>0</v>
      </c>
      <c r="Q15" s="38" t="s">
        <v>20</v>
      </c>
      <c r="R15" s="35" t="b">
        <v>0</v>
      </c>
    </row>
    <row r="16" spans="2:18" x14ac:dyDescent="0.2">
      <c r="B16" s="30"/>
      <c r="C16" s="36"/>
      <c r="D16" s="44" t="s">
        <v>33</v>
      </c>
      <c r="E16" s="44"/>
      <c r="G16">
        <v>2</v>
      </c>
      <c r="H16" t="s">
        <v>32</v>
      </c>
      <c r="L16" s="32">
        <v>2</v>
      </c>
      <c r="M16" s="32">
        <v>2</v>
      </c>
      <c r="N16" s="32"/>
      <c r="O16" s="32">
        <v>0</v>
      </c>
      <c r="P16" s="33">
        <v>0</v>
      </c>
      <c r="Q16" s="38" t="s">
        <v>20</v>
      </c>
      <c r="R16" s="35" t="b">
        <v>0</v>
      </c>
    </row>
    <row r="17" spans="2:18" x14ac:dyDescent="0.2">
      <c r="B17" s="30"/>
      <c r="C17" s="36"/>
      <c r="D17" s="44" t="s">
        <v>34</v>
      </c>
      <c r="E17" s="44"/>
      <c r="G17">
        <v>1</v>
      </c>
      <c r="H17" t="s">
        <v>32</v>
      </c>
      <c r="L17" s="32">
        <v>2</v>
      </c>
      <c r="M17" s="32">
        <v>8</v>
      </c>
      <c r="N17" s="32"/>
      <c r="O17" s="32">
        <v>0</v>
      </c>
      <c r="P17" s="33">
        <v>0</v>
      </c>
      <c r="Q17" s="38" t="s">
        <v>20</v>
      </c>
      <c r="R17" s="35" t="b">
        <v>0</v>
      </c>
    </row>
    <row r="18" spans="2:18" x14ac:dyDescent="0.2">
      <c r="B18" s="30"/>
      <c r="C18" s="36"/>
      <c r="D18" s="45" t="s">
        <v>35</v>
      </c>
      <c r="E18" s="45"/>
      <c r="G18">
        <v>6</v>
      </c>
      <c r="H18" t="s">
        <v>32</v>
      </c>
      <c r="L18" s="32">
        <v>2</v>
      </c>
      <c r="M18" s="32">
        <v>5</v>
      </c>
      <c r="N18" s="32"/>
      <c r="O18" s="32">
        <v>0</v>
      </c>
      <c r="P18" s="33">
        <v>0</v>
      </c>
      <c r="Q18" s="38" t="s">
        <v>20</v>
      </c>
      <c r="R18" s="35" t="b">
        <v>0</v>
      </c>
    </row>
    <row r="19" spans="2:18" x14ac:dyDescent="0.2">
      <c r="B19" s="30"/>
      <c r="C19" s="36"/>
      <c r="D19" s="45" t="s">
        <v>36</v>
      </c>
      <c r="E19" s="45"/>
      <c r="G19" s="46">
        <v>1</v>
      </c>
      <c r="H19" s="46" t="s">
        <v>32</v>
      </c>
      <c r="L19" s="32">
        <v>2</v>
      </c>
      <c r="M19" s="32">
        <v>8</v>
      </c>
      <c r="N19" s="32"/>
      <c r="O19" s="32">
        <v>0</v>
      </c>
      <c r="P19" s="33">
        <v>0</v>
      </c>
      <c r="Q19" s="38" t="s">
        <v>20</v>
      </c>
      <c r="R19" s="35" t="b">
        <v>0</v>
      </c>
    </row>
    <row r="20" spans="2:18" x14ac:dyDescent="0.2">
      <c r="B20" s="30"/>
      <c r="C20" s="36"/>
      <c r="D20" s="45" t="s">
        <v>37</v>
      </c>
      <c r="E20" s="45"/>
      <c r="G20" s="46">
        <v>1</v>
      </c>
      <c r="H20" s="46" t="s">
        <v>32</v>
      </c>
      <c r="L20" s="32">
        <v>2</v>
      </c>
      <c r="M20" s="32">
        <v>2</v>
      </c>
      <c r="N20" s="32"/>
      <c r="O20" s="32">
        <v>0</v>
      </c>
      <c r="P20" s="33">
        <v>0</v>
      </c>
      <c r="Q20" s="38" t="s">
        <v>20</v>
      </c>
      <c r="R20" s="35" t="b">
        <v>0</v>
      </c>
    </row>
    <row r="21" spans="2:18" x14ac:dyDescent="0.2">
      <c r="B21" s="30"/>
      <c r="C21" s="36"/>
      <c r="D21" s="45" t="s">
        <v>38</v>
      </c>
      <c r="E21" s="45"/>
      <c r="G21" s="46">
        <v>1</v>
      </c>
      <c r="H21" s="46" t="s">
        <v>32</v>
      </c>
      <c r="L21" s="32">
        <v>2</v>
      </c>
      <c r="M21" s="32">
        <v>2</v>
      </c>
      <c r="N21" s="32"/>
      <c r="O21" s="32">
        <v>0</v>
      </c>
      <c r="P21" s="33">
        <v>0</v>
      </c>
      <c r="Q21" s="38" t="s">
        <v>20</v>
      </c>
      <c r="R21" s="35" t="b">
        <v>0</v>
      </c>
    </row>
    <row r="22" spans="2:18" x14ac:dyDescent="0.2">
      <c r="B22" s="30"/>
      <c r="C22" s="36"/>
      <c r="D22" s="45" t="s">
        <v>39</v>
      </c>
      <c r="E22" s="45"/>
      <c r="G22" s="46">
        <v>1</v>
      </c>
      <c r="H22" s="46" t="s">
        <v>32</v>
      </c>
      <c r="L22" s="32">
        <v>2</v>
      </c>
      <c r="M22" s="32">
        <v>2</v>
      </c>
      <c r="N22" s="32"/>
      <c r="O22" s="32">
        <v>0</v>
      </c>
      <c r="P22" s="33">
        <v>0</v>
      </c>
      <c r="Q22" s="38" t="s">
        <v>20</v>
      </c>
      <c r="R22" s="35" t="b">
        <v>0</v>
      </c>
    </row>
    <row r="23" spans="2:18" x14ac:dyDescent="0.2">
      <c r="B23" s="30"/>
      <c r="C23" s="36"/>
      <c r="D23" s="45" t="s">
        <v>40</v>
      </c>
      <c r="E23" s="45"/>
      <c r="G23" s="46">
        <v>1</v>
      </c>
      <c r="H23" s="46" t="s">
        <v>32</v>
      </c>
      <c r="L23" s="32">
        <v>2</v>
      </c>
      <c r="M23" s="32">
        <v>2</v>
      </c>
      <c r="N23" s="32"/>
      <c r="O23" s="32">
        <v>0</v>
      </c>
      <c r="P23" s="33">
        <v>0</v>
      </c>
      <c r="Q23" s="38" t="s">
        <v>20</v>
      </c>
      <c r="R23" s="35" t="b">
        <v>0</v>
      </c>
    </row>
    <row r="24" spans="2:18" x14ac:dyDescent="0.2">
      <c r="B24" s="30"/>
      <c r="C24" s="36"/>
      <c r="D24" s="44" t="s">
        <v>41</v>
      </c>
      <c r="E24" s="44"/>
      <c r="G24" s="46">
        <v>6</v>
      </c>
      <c r="H24" s="46" t="s">
        <v>32</v>
      </c>
      <c r="L24" s="32">
        <v>2</v>
      </c>
      <c r="M24" s="32">
        <v>2</v>
      </c>
      <c r="N24" s="32"/>
      <c r="O24" s="32">
        <v>0</v>
      </c>
      <c r="P24" s="33">
        <v>0</v>
      </c>
      <c r="Q24" s="38" t="s">
        <v>20</v>
      </c>
      <c r="R24" s="35" t="b">
        <v>0</v>
      </c>
    </row>
    <row r="25" spans="2:18" x14ac:dyDescent="0.2">
      <c r="B25" s="30"/>
      <c r="C25" s="36"/>
      <c r="D25" t="s">
        <v>42</v>
      </c>
      <c r="L25" s="32"/>
      <c r="M25" s="32"/>
      <c r="N25" s="32"/>
      <c r="O25" s="32">
        <v>0</v>
      </c>
      <c r="P25" s="33">
        <v>0</v>
      </c>
      <c r="Q25" s="38" t="s">
        <v>20</v>
      </c>
      <c r="R25" s="35" t="b">
        <v>0</v>
      </c>
    </row>
    <row r="26" spans="2:18" x14ac:dyDescent="0.2">
      <c r="B26" s="30"/>
      <c r="C26" s="36"/>
      <c r="D26" t="s">
        <v>43</v>
      </c>
      <c r="L26" s="32"/>
      <c r="M26" s="32"/>
      <c r="N26" s="32"/>
      <c r="O26" s="32">
        <v>0</v>
      </c>
      <c r="P26" s="33">
        <v>0</v>
      </c>
      <c r="Q26" s="38" t="s">
        <v>20</v>
      </c>
      <c r="R26" s="35" t="b">
        <v>0</v>
      </c>
    </row>
    <row r="27" spans="2:18" x14ac:dyDescent="0.2">
      <c r="B27" s="21">
        <v>3</v>
      </c>
      <c r="C27" s="22" t="s">
        <v>44</v>
      </c>
      <c r="D27" s="23"/>
      <c r="E27" s="23"/>
      <c r="F27" s="23"/>
      <c r="G27" s="23"/>
      <c r="H27" s="23"/>
      <c r="I27" s="23"/>
      <c r="J27" s="23"/>
      <c r="K27" s="23"/>
      <c r="L27" s="39"/>
      <c r="M27" s="26"/>
      <c r="N27" s="26"/>
      <c r="O27" s="26"/>
      <c r="P27" s="48">
        <f>SUM(P28:P32)</f>
        <v>0</v>
      </c>
      <c r="Q27" s="41"/>
      <c r="R27" s="49"/>
    </row>
    <row r="28" spans="2:18" x14ac:dyDescent="0.2">
      <c r="B28" s="30"/>
      <c r="C28" s="36"/>
      <c r="D28" t="s">
        <v>45</v>
      </c>
      <c r="L28" s="32">
        <v>2</v>
      </c>
      <c r="M28" s="32">
        <v>4</v>
      </c>
      <c r="N28" s="32"/>
      <c r="O28" s="32">
        <v>0</v>
      </c>
      <c r="P28" s="33">
        <v>0</v>
      </c>
      <c r="Q28" s="38" t="s">
        <v>20</v>
      </c>
      <c r="R28" s="35" t="b">
        <v>0</v>
      </c>
    </row>
    <row r="29" spans="2:18" x14ac:dyDescent="0.2">
      <c r="B29" s="30"/>
      <c r="C29" s="36"/>
      <c r="D29" s="46" t="s">
        <v>46</v>
      </c>
      <c r="L29" s="32">
        <v>2</v>
      </c>
      <c r="M29" s="32">
        <v>4</v>
      </c>
      <c r="N29" s="32"/>
      <c r="O29" s="32">
        <v>0</v>
      </c>
      <c r="P29" s="33">
        <v>0</v>
      </c>
      <c r="Q29" s="38" t="s">
        <v>20</v>
      </c>
      <c r="R29" s="35" t="b">
        <v>0</v>
      </c>
    </row>
    <row r="30" spans="2:18" x14ac:dyDescent="0.2">
      <c r="B30" s="30"/>
      <c r="C30" s="36"/>
      <c r="D30" t="s">
        <v>47</v>
      </c>
      <c r="L30" s="32">
        <v>1</v>
      </c>
      <c r="M30" s="32">
        <v>2</v>
      </c>
      <c r="N30" s="32"/>
      <c r="O30" s="32">
        <v>0</v>
      </c>
      <c r="P30" s="33">
        <v>0</v>
      </c>
      <c r="Q30" s="38" t="s">
        <v>20</v>
      </c>
      <c r="R30" s="35" t="b">
        <v>0</v>
      </c>
    </row>
    <row r="31" spans="2:18" x14ac:dyDescent="0.2">
      <c r="B31" s="30"/>
      <c r="C31" s="36"/>
      <c r="D31" t="s">
        <v>48</v>
      </c>
      <c r="L31" s="32">
        <v>2</v>
      </c>
      <c r="M31" s="32">
        <v>2</v>
      </c>
      <c r="N31" s="32"/>
      <c r="O31" s="32">
        <v>0</v>
      </c>
      <c r="P31" s="33">
        <v>0</v>
      </c>
      <c r="Q31" s="38" t="s">
        <v>20</v>
      </c>
      <c r="R31" s="35" t="b">
        <v>0</v>
      </c>
    </row>
    <row r="32" spans="2:18" x14ac:dyDescent="0.2">
      <c r="B32" s="30"/>
      <c r="C32" s="36"/>
      <c r="D32" t="s">
        <v>49</v>
      </c>
      <c r="L32" s="32"/>
      <c r="M32" s="32"/>
      <c r="N32" s="32"/>
      <c r="O32" s="32">
        <v>0</v>
      </c>
      <c r="P32" s="33">
        <v>0</v>
      </c>
      <c r="Q32" s="34" t="s">
        <v>18</v>
      </c>
      <c r="R32" s="35" t="b">
        <v>0</v>
      </c>
    </row>
    <row r="33" spans="2:18" x14ac:dyDescent="0.2">
      <c r="B33" s="21">
        <v>4</v>
      </c>
      <c r="C33" s="22" t="s">
        <v>50</v>
      </c>
      <c r="D33" s="23"/>
      <c r="E33" s="23"/>
      <c r="F33" s="23"/>
      <c r="G33" s="23"/>
      <c r="H33" s="23"/>
      <c r="I33" s="23"/>
      <c r="J33" s="23"/>
      <c r="K33" s="23"/>
      <c r="L33" s="39"/>
      <c r="M33" s="26"/>
      <c r="N33" s="26"/>
      <c r="O33" s="22"/>
      <c r="P33" s="22">
        <f>SUM(P34:P38)</f>
        <v>0</v>
      </c>
      <c r="Q33" s="41"/>
      <c r="R33" s="49"/>
    </row>
    <row r="34" spans="2:18" x14ac:dyDescent="0.2">
      <c r="B34" s="30"/>
      <c r="C34" s="36"/>
      <c r="D34" t="s">
        <v>51</v>
      </c>
      <c r="L34" s="32"/>
      <c r="M34" s="32"/>
      <c r="N34" s="32"/>
      <c r="O34" s="32"/>
      <c r="P34" s="33">
        <f>N34*M34*L34</f>
        <v>0</v>
      </c>
      <c r="Q34" s="34" t="s">
        <v>52</v>
      </c>
      <c r="R34" s="35" t="b">
        <v>0</v>
      </c>
    </row>
    <row r="35" spans="2:18" x14ac:dyDescent="0.2">
      <c r="B35" s="30"/>
      <c r="C35" s="36"/>
      <c r="D35" t="s">
        <v>53</v>
      </c>
      <c r="L35" s="32"/>
      <c r="M35" s="32"/>
      <c r="N35" s="32"/>
      <c r="O35" s="32"/>
      <c r="P35" s="33">
        <f>N35*M35*L35</f>
        <v>0</v>
      </c>
      <c r="Q35" s="34" t="s">
        <v>52</v>
      </c>
      <c r="R35" s="35" t="b">
        <v>0</v>
      </c>
    </row>
    <row r="36" spans="2:18" x14ac:dyDescent="0.2">
      <c r="B36" s="30"/>
      <c r="C36" s="36"/>
      <c r="D36" t="s">
        <v>54</v>
      </c>
      <c r="L36" s="32"/>
      <c r="M36" s="32"/>
      <c r="N36" s="32"/>
      <c r="O36" s="32"/>
      <c r="P36" s="33">
        <f>N36*M36*L36</f>
        <v>0</v>
      </c>
      <c r="Q36" s="34" t="s">
        <v>55</v>
      </c>
      <c r="R36" s="35" t="b">
        <v>0</v>
      </c>
    </row>
    <row r="37" spans="2:18" x14ac:dyDescent="0.2">
      <c r="B37" s="30"/>
      <c r="C37" s="36"/>
      <c r="D37" t="s">
        <v>56</v>
      </c>
      <c r="L37" s="32"/>
      <c r="M37" s="32"/>
      <c r="N37" s="32"/>
      <c r="O37" s="32"/>
      <c r="P37" s="33">
        <f>N37*M37*L37</f>
        <v>0</v>
      </c>
      <c r="Q37" s="34" t="s">
        <v>18</v>
      </c>
      <c r="R37" s="35" t="b">
        <v>0</v>
      </c>
    </row>
    <row r="38" spans="2:18" x14ac:dyDescent="0.2">
      <c r="B38" s="30"/>
      <c r="C38" s="36"/>
      <c r="D38" t="s">
        <v>57</v>
      </c>
      <c r="L38" s="32"/>
      <c r="M38" s="32"/>
      <c r="N38" s="32"/>
      <c r="O38" s="32"/>
      <c r="P38" s="33">
        <f>N38*M38*L38</f>
        <v>0</v>
      </c>
      <c r="Q38" s="34" t="s">
        <v>58</v>
      </c>
      <c r="R38" s="35" t="b">
        <v>0</v>
      </c>
    </row>
    <row r="39" spans="2:18" x14ac:dyDescent="0.2">
      <c r="B39" s="21">
        <v>5</v>
      </c>
      <c r="C39" s="22" t="s">
        <v>59</v>
      </c>
      <c r="D39" s="23"/>
      <c r="E39" s="23"/>
      <c r="F39" s="23"/>
      <c r="G39" s="23"/>
      <c r="H39" s="23"/>
      <c r="I39" s="23"/>
      <c r="J39" s="23"/>
      <c r="K39" s="23"/>
      <c r="L39" s="39"/>
      <c r="M39" s="26"/>
      <c r="N39" s="26"/>
      <c r="O39" s="22"/>
      <c r="P39" s="22">
        <f>SUM(P40:P43)</f>
        <v>0</v>
      </c>
      <c r="Q39" s="41"/>
      <c r="R39" s="49"/>
    </row>
    <row r="40" spans="2:18" x14ac:dyDescent="0.2">
      <c r="B40" s="30"/>
      <c r="C40" s="36"/>
      <c r="D40" t="s">
        <v>60</v>
      </c>
      <c r="L40" s="32"/>
      <c r="M40" s="32"/>
      <c r="N40" s="32"/>
      <c r="O40" s="32"/>
      <c r="P40" s="33">
        <f>N40*M40*L40</f>
        <v>0</v>
      </c>
      <c r="Q40" s="50" t="s">
        <v>18</v>
      </c>
      <c r="R40" s="35" t="b">
        <v>0</v>
      </c>
    </row>
    <row r="41" spans="2:18" x14ac:dyDescent="0.2">
      <c r="B41" s="30"/>
      <c r="C41" s="36"/>
      <c r="D41" t="s">
        <v>61</v>
      </c>
      <c r="L41" s="32"/>
      <c r="M41" s="32"/>
      <c r="N41" s="32"/>
      <c r="O41" s="32"/>
      <c r="P41" s="33">
        <f>N41*M41*L41</f>
        <v>0</v>
      </c>
      <c r="Q41" s="50" t="s">
        <v>18</v>
      </c>
      <c r="R41" s="35" t="b">
        <v>0</v>
      </c>
    </row>
    <row r="42" spans="2:18" x14ac:dyDescent="0.2">
      <c r="B42" s="30"/>
      <c r="C42" s="36"/>
      <c r="D42" t="s">
        <v>62</v>
      </c>
      <c r="L42" s="32"/>
      <c r="M42" s="32"/>
      <c r="N42" s="32"/>
      <c r="O42" s="32"/>
      <c r="P42" s="33">
        <f>N42*M42*L42</f>
        <v>0</v>
      </c>
      <c r="Q42" s="50" t="s">
        <v>18</v>
      </c>
      <c r="R42" s="35" t="b">
        <v>0</v>
      </c>
    </row>
    <row r="43" spans="2:18" x14ac:dyDescent="0.2">
      <c r="B43" s="30"/>
      <c r="C43" s="36"/>
      <c r="D43" t="s">
        <v>63</v>
      </c>
      <c r="L43" s="32">
        <v>0</v>
      </c>
      <c r="M43" s="32"/>
      <c r="N43" s="32"/>
      <c r="O43" s="32"/>
      <c r="P43" s="33">
        <f>N43*M43*L43</f>
        <v>0</v>
      </c>
      <c r="Q43" s="50" t="s">
        <v>18</v>
      </c>
      <c r="R43" s="35" t="b">
        <v>0</v>
      </c>
    </row>
    <row r="44" spans="2:18" x14ac:dyDescent="0.2">
      <c r="B44" s="21">
        <v>6</v>
      </c>
      <c r="C44" s="22" t="s">
        <v>64</v>
      </c>
      <c r="D44" s="23"/>
      <c r="E44" s="23"/>
      <c r="F44" s="23"/>
      <c r="G44" s="23"/>
      <c r="H44" s="23"/>
      <c r="I44" s="23"/>
      <c r="J44" s="23"/>
      <c r="K44" s="23"/>
      <c r="L44" s="39"/>
      <c r="M44" s="26"/>
      <c r="N44" s="26"/>
      <c r="O44" s="26"/>
      <c r="P44" s="48">
        <f>SUM(P45:P56)</f>
        <v>0</v>
      </c>
      <c r="Q44" s="22"/>
      <c r="R44" s="49"/>
    </row>
    <row r="45" spans="2:18" x14ac:dyDescent="0.2">
      <c r="B45" s="30"/>
      <c r="C45" s="36"/>
      <c r="D45" t="s">
        <v>65</v>
      </c>
      <c r="L45" s="32">
        <v>1</v>
      </c>
      <c r="M45" s="32">
        <v>5</v>
      </c>
      <c r="N45" s="32"/>
      <c r="O45" s="32"/>
      <c r="P45" s="33">
        <v>0</v>
      </c>
      <c r="Q45" s="38" t="s">
        <v>20</v>
      </c>
      <c r="R45" s="35" t="b">
        <v>0</v>
      </c>
    </row>
    <row r="46" spans="2:18" x14ac:dyDescent="0.2">
      <c r="B46" s="30"/>
      <c r="C46" s="36"/>
      <c r="D46" t="s">
        <v>66</v>
      </c>
      <c r="L46" s="32">
        <v>2</v>
      </c>
      <c r="M46" s="32">
        <v>2</v>
      </c>
      <c r="N46" s="32"/>
      <c r="O46" s="32"/>
      <c r="P46" s="33">
        <v>0</v>
      </c>
      <c r="Q46" s="38" t="s">
        <v>20</v>
      </c>
      <c r="R46" s="35" t="b">
        <v>0</v>
      </c>
    </row>
    <row r="47" spans="2:18" x14ac:dyDescent="0.2">
      <c r="B47" s="30"/>
      <c r="C47" s="36"/>
      <c r="D47" t="s">
        <v>67</v>
      </c>
      <c r="L47" s="32"/>
      <c r="M47" s="32"/>
      <c r="N47" s="32"/>
      <c r="O47" s="32"/>
      <c r="P47" s="33">
        <v>0</v>
      </c>
      <c r="Q47" s="38" t="s">
        <v>20</v>
      </c>
      <c r="R47" s="35"/>
    </row>
    <row r="48" spans="2:18" x14ac:dyDescent="0.2">
      <c r="B48" s="30"/>
      <c r="C48" s="36"/>
      <c r="D48" t="s">
        <v>68</v>
      </c>
      <c r="L48" s="32"/>
      <c r="M48" s="32"/>
      <c r="N48" s="32"/>
      <c r="O48" s="32"/>
      <c r="P48" s="33">
        <v>0</v>
      </c>
      <c r="Q48" s="38" t="s">
        <v>20</v>
      </c>
      <c r="R48" s="35" t="b">
        <v>0</v>
      </c>
    </row>
    <row r="49" spans="2:18" x14ac:dyDescent="0.2">
      <c r="B49" s="30"/>
      <c r="C49" s="36"/>
      <c r="D49" s="44" t="s">
        <v>31</v>
      </c>
      <c r="E49" s="44"/>
      <c r="G49">
        <v>1</v>
      </c>
      <c r="H49" t="s">
        <v>32</v>
      </c>
      <c r="L49" s="32">
        <v>2</v>
      </c>
      <c r="M49" s="32">
        <v>6</v>
      </c>
      <c r="N49" s="32"/>
      <c r="O49" s="32"/>
      <c r="P49" s="33">
        <v>0</v>
      </c>
      <c r="Q49" s="38" t="s">
        <v>20</v>
      </c>
      <c r="R49" s="35" t="b">
        <v>0</v>
      </c>
    </row>
    <row r="50" spans="2:18" x14ac:dyDescent="0.2">
      <c r="B50" s="30"/>
      <c r="C50" s="36"/>
      <c r="D50" s="44" t="s">
        <v>33</v>
      </c>
      <c r="E50" s="44"/>
      <c r="G50">
        <v>1</v>
      </c>
      <c r="H50" t="s">
        <v>32</v>
      </c>
      <c r="L50" s="32">
        <v>2</v>
      </c>
      <c r="M50" s="32">
        <v>3</v>
      </c>
      <c r="N50" s="32"/>
      <c r="O50" s="32"/>
      <c r="P50" s="33">
        <v>0</v>
      </c>
      <c r="Q50" s="38" t="s">
        <v>20</v>
      </c>
      <c r="R50" s="35" t="b">
        <v>0</v>
      </c>
    </row>
    <row r="51" spans="2:18" x14ac:dyDescent="0.2">
      <c r="B51" s="30"/>
      <c r="C51" s="36"/>
      <c r="D51" s="45" t="s">
        <v>35</v>
      </c>
      <c r="E51" s="45"/>
      <c r="G51">
        <v>6</v>
      </c>
      <c r="H51" t="s">
        <v>32</v>
      </c>
      <c r="L51" s="32">
        <v>2</v>
      </c>
      <c r="M51" s="32">
        <v>6</v>
      </c>
      <c r="N51" s="32"/>
      <c r="O51" s="32"/>
      <c r="P51" s="33">
        <v>0</v>
      </c>
      <c r="Q51" s="38" t="s">
        <v>20</v>
      </c>
      <c r="R51" s="35" t="b">
        <v>0</v>
      </c>
    </row>
    <row r="52" spans="2:18" x14ac:dyDescent="0.2">
      <c r="B52" s="30"/>
      <c r="C52" s="36"/>
      <c r="D52" s="45" t="s">
        <v>36</v>
      </c>
      <c r="E52" s="45"/>
      <c r="G52" s="46">
        <v>1</v>
      </c>
      <c r="H52" s="46" t="s">
        <v>32</v>
      </c>
      <c r="L52" s="32">
        <v>2</v>
      </c>
      <c r="M52" s="32">
        <v>7</v>
      </c>
      <c r="N52" s="32"/>
      <c r="O52" s="32"/>
      <c r="P52" s="33">
        <v>0</v>
      </c>
      <c r="Q52" s="38" t="s">
        <v>20</v>
      </c>
      <c r="R52" s="35" t="b">
        <v>0</v>
      </c>
    </row>
    <row r="53" spans="2:18" x14ac:dyDescent="0.2">
      <c r="B53" s="30"/>
      <c r="C53" s="36"/>
      <c r="D53" s="45" t="s">
        <v>37</v>
      </c>
      <c r="E53" s="45"/>
      <c r="G53" s="46">
        <v>1</v>
      </c>
      <c r="H53" s="46" t="s">
        <v>32</v>
      </c>
      <c r="L53" s="32">
        <v>2</v>
      </c>
      <c r="M53" s="32">
        <v>5</v>
      </c>
      <c r="N53" s="32"/>
      <c r="O53" s="32"/>
      <c r="P53" s="33">
        <v>0</v>
      </c>
      <c r="Q53" s="38" t="s">
        <v>20</v>
      </c>
      <c r="R53" s="35" t="b">
        <v>0</v>
      </c>
    </row>
    <row r="54" spans="2:18" x14ac:dyDescent="0.2">
      <c r="B54" s="30"/>
      <c r="C54" s="36"/>
      <c r="D54" s="45" t="s">
        <v>38</v>
      </c>
      <c r="E54" s="45"/>
      <c r="G54" s="46">
        <v>1</v>
      </c>
      <c r="H54" s="46" t="s">
        <v>32</v>
      </c>
      <c r="L54" s="32">
        <v>2</v>
      </c>
      <c r="M54" s="32">
        <v>5</v>
      </c>
      <c r="N54" s="32"/>
      <c r="O54" s="32"/>
      <c r="P54" s="33">
        <v>0</v>
      </c>
      <c r="Q54" s="38" t="s">
        <v>20</v>
      </c>
      <c r="R54" s="35" t="b">
        <v>0</v>
      </c>
    </row>
    <row r="55" spans="2:18" x14ac:dyDescent="0.2">
      <c r="B55" s="30"/>
      <c r="C55" s="36"/>
      <c r="D55" s="45" t="s">
        <v>39</v>
      </c>
      <c r="E55" s="45"/>
      <c r="G55" s="46">
        <v>1</v>
      </c>
      <c r="H55" s="46" t="s">
        <v>32</v>
      </c>
      <c r="L55" s="32">
        <v>2</v>
      </c>
      <c r="M55" s="32">
        <v>5</v>
      </c>
      <c r="N55" s="32"/>
      <c r="O55" s="32"/>
      <c r="P55" s="33">
        <v>0</v>
      </c>
      <c r="Q55" s="38" t="s">
        <v>20</v>
      </c>
      <c r="R55" s="35" t="b">
        <v>0</v>
      </c>
    </row>
    <row r="56" spans="2:18" x14ac:dyDescent="0.2">
      <c r="B56" s="30"/>
      <c r="C56" s="36"/>
      <c r="D56" s="44" t="s">
        <v>69</v>
      </c>
      <c r="E56" s="44"/>
      <c r="G56" s="46">
        <v>6</v>
      </c>
      <c r="H56" s="46" t="s">
        <v>32</v>
      </c>
      <c r="L56" s="32">
        <v>2</v>
      </c>
      <c r="M56" s="32">
        <v>5</v>
      </c>
      <c r="N56" s="32"/>
      <c r="O56" s="32"/>
      <c r="P56" s="33">
        <v>0</v>
      </c>
      <c r="Q56" s="38" t="s">
        <v>20</v>
      </c>
      <c r="R56" s="35" t="b">
        <v>0</v>
      </c>
    </row>
    <row r="57" spans="2:18" x14ac:dyDescent="0.2">
      <c r="B57" s="21">
        <v>7</v>
      </c>
      <c r="C57" s="22" t="s">
        <v>70</v>
      </c>
      <c r="D57" s="23"/>
      <c r="E57" s="23"/>
      <c r="F57" s="23"/>
      <c r="G57" s="23"/>
      <c r="H57" s="23"/>
      <c r="I57" s="23"/>
      <c r="J57" s="23"/>
      <c r="K57" s="23"/>
      <c r="L57" s="39"/>
      <c r="M57" s="26"/>
      <c r="N57" s="26"/>
      <c r="O57" s="26"/>
      <c r="P57" s="48">
        <f>SUM(P58:P60)</f>
        <v>0</v>
      </c>
      <c r="Q57" s="22"/>
      <c r="R57" s="49"/>
    </row>
    <row r="58" spans="2:18" x14ac:dyDescent="0.2">
      <c r="B58" s="30"/>
      <c r="C58" s="36"/>
      <c r="D58" t="s">
        <v>71</v>
      </c>
      <c r="L58" s="32">
        <v>2</v>
      </c>
      <c r="M58" s="32">
        <v>10</v>
      </c>
      <c r="N58" s="32"/>
      <c r="O58" s="32"/>
      <c r="P58" s="33">
        <v>0</v>
      </c>
      <c r="Q58" s="38" t="s">
        <v>20</v>
      </c>
      <c r="R58" s="35" t="b">
        <v>0</v>
      </c>
    </row>
    <row r="59" spans="2:18" x14ac:dyDescent="0.2">
      <c r="B59" s="30"/>
      <c r="C59" s="36"/>
      <c r="D59" t="s">
        <v>72</v>
      </c>
      <c r="L59" s="32">
        <v>2</v>
      </c>
      <c r="M59" s="32">
        <v>14</v>
      </c>
      <c r="N59" s="32"/>
      <c r="O59" s="32"/>
      <c r="P59" s="33">
        <v>0</v>
      </c>
      <c r="Q59" s="38" t="s">
        <v>20</v>
      </c>
      <c r="R59" s="35" t="b">
        <v>0</v>
      </c>
    </row>
    <row r="60" spans="2:18" x14ac:dyDescent="0.2">
      <c r="B60" s="30"/>
      <c r="C60" s="36"/>
      <c r="D60" t="s">
        <v>73</v>
      </c>
      <c r="L60" s="32">
        <v>1</v>
      </c>
      <c r="M60" s="32">
        <v>2</v>
      </c>
      <c r="N60" s="32"/>
      <c r="O60" s="32"/>
      <c r="P60" s="33">
        <v>0</v>
      </c>
      <c r="Q60" s="38" t="s">
        <v>20</v>
      </c>
      <c r="R60" s="35" t="b">
        <v>0</v>
      </c>
    </row>
    <row r="61" spans="2:18" x14ac:dyDescent="0.2">
      <c r="B61" s="21">
        <v>8</v>
      </c>
      <c r="C61" s="22" t="s">
        <v>74</v>
      </c>
      <c r="D61" s="23"/>
      <c r="E61" s="23"/>
      <c r="F61" s="23"/>
      <c r="G61" s="23"/>
      <c r="H61" s="23"/>
      <c r="I61" s="23"/>
      <c r="J61" s="23"/>
      <c r="K61" s="23"/>
      <c r="L61" s="39"/>
      <c r="M61" s="26"/>
      <c r="N61" s="26"/>
      <c r="O61" s="26"/>
      <c r="P61" s="48">
        <f>SUM(P62:P67)</f>
        <v>0</v>
      </c>
      <c r="Q61" s="22"/>
      <c r="R61" s="51"/>
    </row>
    <row r="62" spans="2:18" x14ac:dyDescent="0.2">
      <c r="B62" s="52"/>
      <c r="D62" t="s">
        <v>75</v>
      </c>
      <c r="L62" s="32">
        <v>1</v>
      </c>
      <c r="M62" s="32">
        <v>2</v>
      </c>
      <c r="N62" s="32"/>
      <c r="O62" s="32"/>
      <c r="P62" s="33">
        <v>0</v>
      </c>
      <c r="Q62" s="38" t="s">
        <v>20</v>
      </c>
      <c r="R62" s="35" t="b">
        <v>0</v>
      </c>
    </row>
    <row r="63" spans="2:18" x14ac:dyDescent="0.2">
      <c r="B63" s="52"/>
      <c r="D63" t="s">
        <v>76</v>
      </c>
      <c r="L63" s="32">
        <v>1</v>
      </c>
      <c r="M63" s="32">
        <v>2</v>
      </c>
      <c r="N63" s="32"/>
      <c r="O63" s="32"/>
      <c r="P63" s="33">
        <v>0</v>
      </c>
      <c r="Q63" s="38" t="s">
        <v>20</v>
      </c>
      <c r="R63" s="35" t="b">
        <v>0</v>
      </c>
    </row>
    <row r="64" spans="2:18" x14ac:dyDescent="0.2">
      <c r="B64" s="52"/>
      <c r="D64" t="s">
        <v>74</v>
      </c>
      <c r="L64" s="32">
        <v>1</v>
      </c>
      <c r="M64" s="32">
        <v>4</v>
      </c>
      <c r="N64" s="32"/>
      <c r="O64" s="32"/>
      <c r="P64" s="33">
        <v>0</v>
      </c>
      <c r="Q64" s="38" t="s">
        <v>20</v>
      </c>
      <c r="R64" s="35" t="b">
        <v>0</v>
      </c>
    </row>
    <row r="65" spans="2:18" x14ac:dyDescent="0.2">
      <c r="B65" s="52"/>
      <c r="D65" t="s">
        <v>77</v>
      </c>
      <c r="L65" s="32">
        <v>1</v>
      </c>
      <c r="M65" s="32"/>
      <c r="N65" s="32"/>
      <c r="O65" s="32"/>
      <c r="P65" s="33">
        <v>0</v>
      </c>
      <c r="Q65" s="38" t="s">
        <v>20</v>
      </c>
      <c r="R65" s="35" t="b">
        <v>0</v>
      </c>
    </row>
    <row r="66" spans="2:18" x14ac:dyDescent="0.2">
      <c r="B66" s="52"/>
      <c r="D66" t="s">
        <v>78</v>
      </c>
      <c r="L66" s="32">
        <v>1</v>
      </c>
      <c r="M66" s="32">
        <v>2</v>
      </c>
      <c r="N66" s="32"/>
      <c r="O66" s="32"/>
      <c r="P66" s="33">
        <v>0</v>
      </c>
      <c r="Q66" s="38" t="s">
        <v>20</v>
      </c>
      <c r="R66" s="35" t="b">
        <v>0</v>
      </c>
    </row>
    <row r="67" spans="2:18" x14ac:dyDescent="0.2">
      <c r="B67" s="52"/>
      <c r="D67" t="s">
        <v>79</v>
      </c>
      <c r="L67" s="32">
        <v>1</v>
      </c>
      <c r="M67" s="32"/>
      <c r="N67" s="32"/>
      <c r="O67" s="32"/>
      <c r="P67" s="33">
        <v>0</v>
      </c>
      <c r="Q67" s="38" t="s">
        <v>20</v>
      </c>
      <c r="R67" s="35" t="b">
        <v>0</v>
      </c>
    </row>
    <row r="68" spans="2:18" x14ac:dyDescent="0.2">
      <c r="B68" s="53">
        <v>9</v>
      </c>
      <c r="C68" s="54" t="s">
        <v>80</v>
      </c>
      <c r="D68" s="55"/>
      <c r="E68" s="55"/>
      <c r="F68" s="55"/>
      <c r="G68" s="55"/>
      <c r="H68" s="55"/>
      <c r="I68" s="55"/>
      <c r="J68" s="55"/>
      <c r="K68" s="55"/>
      <c r="L68" s="56"/>
      <c r="M68" s="55"/>
      <c r="N68" s="55"/>
      <c r="O68" s="26"/>
      <c r="P68" s="48">
        <f>SUM(P69)</f>
        <v>0</v>
      </c>
      <c r="Q68" s="55"/>
      <c r="R68" s="57"/>
    </row>
    <row r="69" spans="2:18" ht="204" x14ac:dyDescent="0.2">
      <c r="B69" s="30"/>
      <c r="C69" s="36"/>
      <c r="D69" s="58" t="s">
        <v>81</v>
      </c>
      <c r="E69" s="58"/>
      <c r="F69" s="58"/>
      <c r="G69" s="58"/>
      <c r="H69" s="58"/>
      <c r="L69" s="59">
        <v>1</v>
      </c>
      <c r="M69" s="59">
        <v>4</v>
      </c>
      <c r="N69" s="59"/>
      <c r="O69" s="59"/>
      <c r="P69" s="64">
        <v>0</v>
      </c>
      <c r="Q69" s="92" t="s">
        <v>20</v>
      </c>
      <c r="R69" s="35" t="b">
        <v>0</v>
      </c>
    </row>
    <row r="70" spans="2:18" x14ac:dyDescent="0.2">
      <c r="B70" s="52"/>
      <c r="D70" t="s">
        <v>82</v>
      </c>
      <c r="L70" s="32">
        <v>1</v>
      </c>
      <c r="M70" s="32">
        <v>2</v>
      </c>
      <c r="N70" s="32"/>
      <c r="O70" s="32"/>
      <c r="P70" s="33">
        <v>0</v>
      </c>
      <c r="Q70" s="38" t="s">
        <v>20</v>
      </c>
      <c r="R70" s="35" t="b">
        <v>0</v>
      </c>
    </row>
    <row r="71" spans="2:18" x14ac:dyDescent="0.2">
      <c r="B71" s="60" t="s">
        <v>83</v>
      </c>
      <c r="C71" s="23"/>
      <c r="D71" s="23"/>
      <c r="E71" s="23"/>
      <c r="F71" s="23"/>
      <c r="G71" s="23"/>
      <c r="H71" s="23"/>
      <c r="I71" s="23"/>
      <c r="J71" s="23"/>
      <c r="K71" s="23"/>
      <c r="L71" s="26" t="s">
        <v>84</v>
      </c>
      <c r="M71" s="26"/>
      <c r="N71" s="26"/>
      <c r="O71" s="26"/>
      <c r="P71" s="48">
        <f>P61+P57+P44+P39+P33+P27+P11+P3+P68</f>
        <v>0</v>
      </c>
      <c r="Q71" s="22"/>
      <c r="R71" s="55"/>
    </row>
    <row r="72" spans="2:18" x14ac:dyDescent="0.2">
      <c r="B72" s="52"/>
      <c r="C72" s="103" t="s">
        <v>85</v>
      </c>
      <c r="D72" s="103"/>
      <c r="E72" s="61"/>
      <c r="F72" s="61"/>
      <c r="G72" s="61"/>
      <c r="H72" s="61"/>
      <c r="I72" s="62"/>
      <c r="J72" s="62"/>
      <c r="K72" s="62"/>
      <c r="L72" s="52"/>
      <c r="M72" s="52"/>
      <c r="N72" s="52"/>
      <c r="O72" s="52"/>
      <c r="R72" s="63"/>
    </row>
    <row r="73" spans="2:18" x14ac:dyDescent="0.2">
      <c r="B73" s="52"/>
      <c r="C73" s="103"/>
      <c r="D73" s="103"/>
      <c r="E73" s="61"/>
      <c r="F73" s="61"/>
      <c r="G73" s="61"/>
      <c r="H73" s="61"/>
      <c r="L73" s="52"/>
      <c r="M73" s="52"/>
      <c r="N73" s="52"/>
      <c r="O73" s="52"/>
      <c r="R73" s="63"/>
    </row>
  </sheetData>
  <mergeCells count="8">
    <mergeCell ref="D8:F8"/>
    <mergeCell ref="C72:D73"/>
    <mergeCell ref="B1:C1"/>
    <mergeCell ref="H2:I2"/>
    <mergeCell ref="D4:F4"/>
    <mergeCell ref="D5:F5"/>
    <mergeCell ref="D6:F6"/>
    <mergeCell ref="D7:F7"/>
  </mergeCells>
  <conditionalFormatting sqref="F1">
    <cfRule type="expression" dxfId="5" priority="2">
      <formula>#REF!&gt;15</formula>
    </cfRule>
  </conditionalFormatting>
  <conditionalFormatting sqref="H1">
    <cfRule type="expression" dxfId="4" priority="1">
      <formula>#REF!&gt;$O$3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DC85-5B45-43E6-8FD2-D6DAF00D0EEC}">
  <dimension ref="B1:U73"/>
  <sheetViews>
    <sheetView topLeftCell="A21" zoomScale="70" zoomScaleNormal="70" workbookViewId="0">
      <selection activeCell="N73" sqref="N73"/>
    </sheetView>
  </sheetViews>
  <sheetFormatPr defaultRowHeight="12.75" x14ac:dyDescent="0.2"/>
  <cols>
    <col min="1" max="1" width="1.42578125" customWidth="1"/>
    <col min="2" max="2" width="6" customWidth="1"/>
    <col min="3" max="3" width="31.7109375" customWidth="1"/>
    <col min="4" max="4" width="49.5703125" bestFit="1" customWidth="1"/>
    <col min="5" max="5" width="5.28515625" bestFit="1" customWidth="1"/>
    <col min="6" max="6" width="5.42578125" bestFit="1" customWidth="1"/>
    <col min="7" max="7" width="11.85546875" customWidth="1"/>
    <col min="8" max="8" width="9.42578125" customWidth="1"/>
    <col min="9" max="9" width="11" customWidth="1"/>
    <col min="10" max="10" width="6.42578125" customWidth="1"/>
    <col min="11" max="11" width="9.28515625" customWidth="1"/>
    <col min="12" max="12" width="7.28515625" customWidth="1"/>
    <col min="13" max="13" width="8.42578125" bestFit="1" customWidth="1"/>
    <col min="14" max="14" width="7.28515625" customWidth="1"/>
    <col min="15" max="15" width="9" customWidth="1"/>
    <col min="16" max="16" width="7.28515625" customWidth="1"/>
    <col min="17" max="17" width="10.5703125" bestFit="1" customWidth="1"/>
    <col min="18" max="18" width="7.28515625" customWidth="1"/>
  </cols>
  <sheetData>
    <row r="1" spans="2:21" ht="43.5" customHeight="1" thickBot="1" x14ac:dyDescent="0.25">
      <c r="B1" s="114" t="s">
        <v>88</v>
      </c>
      <c r="C1" s="115"/>
      <c r="D1" s="65" t="s">
        <v>89</v>
      </c>
      <c r="E1" s="66" t="s">
        <v>0</v>
      </c>
      <c r="F1" s="67"/>
      <c r="G1" s="68" t="s">
        <v>1</v>
      </c>
      <c r="H1" s="69"/>
      <c r="I1" s="68" t="s">
        <v>2</v>
      </c>
      <c r="J1" s="70">
        <f>SUM(P71-H1)</f>
        <v>0</v>
      </c>
      <c r="K1" s="71" t="s">
        <v>3</v>
      </c>
      <c r="L1" s="73">
        <f>(COUNTA(O4:O32)/COUNTA(D4:D32))*100%</f>
        <v>0</v>
      </c>
      <c r="M1" s="71" t="s">
        <v>4</v>
      </c>
      <c r="N1" s="74">
        <f>(COUNTA(N45:N70)/COUNTA(D45:D70))*100%</f>
        <v>0</v>
      </c>
      <c r="O1" s="75" t="s">
        <v>5</v>
      </c>
      <c r="P1" s="76">
        <f>(COUNTA(N45:N70)/COUNTA(D34:D43))*100%</f>
        <v>0</v>
      </c>
      <c r="Q1" s="77" t="s">
        <v>6</v>
      </c>
      <c r="R1" s="78"/>
      <c r="S1" s="14"/>
      <c r="T1" s="14"/>
    </row>
    <row r="2" spans="2:21" ht="64.5" thickBot="1" x14ac:dyDescent="0.25">
      <c r="B2" s="79" t="s">
        <v>7</v>
      </c>
      <c r="C2" s="79"/>
      <c r="D2" s="79"/>
      <c r="E2" s="79"/>
      <c r="F2" s="79"/>
      <c r="G2" s="80" t="s">
        <v>8</v>
      </c>
      <c r="H2" s="112"/>
      <c r="I2" s="113"/>
      <c r="J2" s="81"/>
      <c r="K2" s="81"/>
      <c r="L2" s="82" t="s">
        <v>90</v>
      </c>
      <c r="M2" s="82" t="s">
        <v>10</v>
      </c>
      <c r="N2" s="83" t="s">
        <v>11</v>
      </c>
      <c r="O2" s="82" t="s">
        <v>12</v>
      </c>
      <c r="P2" s="83" t="s">
        <v>13</v>
      </c>
      <c r="Q2" s="84" t="s">
        <v>14</v>
      </c>
      <c r="R2" s="84" t="s">
        <v>15</v>
      </c>
    </row>
    <row r="3" spans="2:21" x14ac:dyDescent="0.2">
      <c r="B3" s="21">
        <v>1</v>
      </c>
      <c r="C3" s="22" t="s">
        <v>16</v>
      </c>
      <c r="D3" s="23"/>
      <c r="E3" s="23"/>
      <c r="F3" s="23"/>
      <c r="G3" s="23"/>
      <c r="H3" s="23"/>
      <c r="I3" s="23"/>
      <c r="J3" s="23"/>
      <c r="K3" s="23"/>
      <c r="L3" s="24"/>
      <c r="M3" s="25"/>
      <c r="N3" s="25"/>
      <c r="O3" s="26"/>
      <c r="P3" s="27">
        <f>SUM(P4:P10)</f>
        <v>0</v>
      </c>
      <c r="Q3" s="28"/>
      <c r="R3" s="29"/>
    </row>
    <row r="4" spans="2:21" x14ac:dyDescent="0.2">
      <c r="B4" s="30"/>
      <c r="C4" s="31"/>
      <c r="D4" s="102" t="s">
        <v>17</v>
      </c>
      <c r="E4" s="102"/>
      <c r="F4" s="102"/>
      <c r="L4" s="32"/>
      <c r="M4" s="32"/>
      <c r="N4" s="32"/>
      <c r="O4" s="32"/>
      <c r="P4" s="33">
        <v>0</v>
      </c>
      <c r="Q4" s="34" t="s">
        <v>18</v>
      </c>
      <c r="R4" s="35" t="b">
        <v>0</v>
      </c>
    </row>
    <row r="5" spans="2:21" x14ac:dyDescent="0.2">
      <c r="B5" s="30"/>
      <c r="C5" s="36"/>
      <c r="D5" s="102" t="s">
        <v>19</v>
      </c>
      <c r="E5" s="102"/>
      <c r="F5" s="102"/>
      <c r="L5" s="32">
        <v>1</v>
      </c>
      <c r="M5" s="32">
        <v>1</v>
      </c>
      <c r="N5" s="37"/>
      <c r="O5" s="33"/>
      <c r="P5" s="33">
        <f t="shared" ref="P5:P10" si="0">N5*M5*L5</f>
        <v>0</v>
      </c>
      <c r="Q5" s="38" t="s">
        <v>20</v>
      </c>
      <c r="R5" s="35" t="b">
        <v>0</v>
      </c>
    </row>
    <row r="6" spans="2:21" x14ac:dyDescent="0.2">
      <c r="B6" s="30"/>
      <c r="C6" s="36"/>
      <c r="D6" s="102" t="s">
        <v>21</v>
      </c>
      <c r="E6" s="102"/>
      <c r="F6" s="102"/>
      <c r="L6" s="32">
        <v>1</v>
      </c>
      <c r="M6" s="32">
        <v>2</v>
      </c>
      <c r="N6" s="37"/>
      <c r="O6" s="33"/>
      <c r="P6" s="33">
        <f t="shared" si="0"/>
        <v>0</v>
      </c>
      <c r="Q6" s="38" t="s">
        <v>20</v>
      </c>
      <c r="R6" s="35" t="b">
        <v>0</v>
      </c>
    </row>
    <row r="7" spans="2:21" x14ac:dyDescent="0.2">
      <c r="B7" s="30"/>
      <c r="C7" s="36"/>
      <c r="D7" s="102" t="s">
        <v>22</v>
      </c>
      <c r="E7" s="102"/>
      <c r="F7" s="102"/>
      <c r="L7" s="32">
        <v>1</v>
      </c>
      <c r="M7" s="32">
        <v>2</v>
      </c>
      <c r="N7" s="37"/>
      <c r="O7" s="33"/>
      <c r="P7" s="33">
        <f t="shared" si="0"/>
        <v>0</v>
      </c>
      <c r="Q7" s="38" t="s">
        <v>20</v>
      </c>
      <c r="R7" s="35" t="b">
        <v>0</v>
      </c>
    </row>
    <row r="8" spans="2:21" x14ac:dyDescent="0.2">
      <c r="B8" s="30"/>
      <c r="C8" s="31"/>
      <c r="D8" s="102" t="s">
        <v>23</v>
      </c>
      <c r="E8" s="102"/>
      <c r="F8" s="102"/>
      <c r="L8" s="32"/>
      <c r="M8" s="32"/>
      <c r="N8" s="37"/>
      <c r="O8" s="32"/>
      <c r="P8" s="33">
        <f t="shared" si="0"/>
        <v>0</v>
      </c>
      <c r="Q8" s="34" t="s">
        <v>18</v>
      </c>
      <c r="R8" s="35" t="b">
        <v>0</v>
      </c>
    </row>
    <row r="9" spans="2:21" x14ac:dyDescent="0.2">
      <c r="B9" s="30"/>
      <c r="C9" s="36"/>
      <c r="D9" t="s">
        <v>25</v>
      </c>
      <c r="L9" s="32"/>
      <c r="M9" s="32"/>
      <c r="N9" s="37"/>
      <c r="O9" s="32"/>
      <c r="P9" s="33">
        <f t="shared" si="0"/>
        <v>0</v>
      </c>
      <c r="Q9" s="38" t="s">
        <v>20</v>
      </c>
      <c r="R9" s="35" t="b">
        <v>0</v>
      </c>
    </row>
    <row r="10" spans="2:21" x14ac:dyDescent="0.2">
      <c r="B10" s="30"/>
      <c r="C10" s="36"/>
      <c r="D10" t="s">
        <v>26</v>
      </c>
      <c r="L10" s="32">
        <v>1</v>
      </c>
      <c r="M10" s="32">
        <v>6</v>
      </c>
      <c r="N10" s="37"/>
      <c r="O10" s="32"/>
      <c r="P10" s="33">
        <f t="shared" si="0"/>
        <v>0</v>
      </c>
      <c r="Q10" s="38" t="s">
        <v>20</v>
      </c>
      <c r="R10" s="35" t="b">
        <v>0</v>
      </c>
    </row>
    <row r="11" spans="2:21" x14ac:dyDescent="0.2">
      <c r="B11" s="21">
        <v>2</v>
      </c>
      <c r="C11" s="22" t="s">
        <v>27</v>
      </c>
      <c r="D11" s="23"/>
      <c r="E11" s="23"/>
      <c r="F11" s="23"/>
      <c r="G11" s="23"/>
      <c r="H11" s="23"/>
      <c r="I11" s="23"/>
      <c r="J11" s="23"/>
      <c r="K11" s="23"/>
      <c r="L11" s="39"/>
      <c r="M11" s="26"/>
      <c r="N11" s="26"/>
      <c r="O11" s="26"/>
      <c r="P11" s="40">
        <f>SUM(P12:P26)</f>
        <v>0</v>
      </c>
      <c r="Q11" s="41"/>
      <c r="R11" s="42"/>
    </row>
    <row r="12" spans="2:21" x14ac:dyDescent="0.2">
      <c r="B12" s="30"/>
      <c r="C12" s="43"/>
      <c r="D12" t="s">
        <v>28</v>
      </c>
      <c r="L12" s="32">
        <v>1</v>
      </c>
      <c r="M12" s="32">
        <v>1</v>
      </c>
      <c r="N12" s="32"/>
      <c r="O12" s="33"/>
      <c r="P12" s="33">
        <v>0</v>
      </c>
      <c r="Q12" s="38" t="s">
        <v>20</v>
      </c>
      <c r="R12" s="35" t="b">
        <v>0</v>
      </c>
    </row>
    <row r="13" spans="2:21" x14ac:dyDescent="0.2">
      <c r="B13" s="30"/>
      <c r="C13" s="36"/>
      <c r="D13" t="s">
        <v>29</v>
      </c>
      <c r="L13" s="32">
        <v>2</v>
      </c>
      <c r="M13" s="32">
        <v>47</v>
      </c>
      <c r="N13" s="37"/>
      <c r="O13" s="33"/>
      <c r="P13" s="33">
        <v>0</v>
      </c>
      <c r="Q13" s="38" t="s">
        <v>20</v>
      </c>
      <c r="R13" s="35" t="b">
        <v>0</v>
      </c>
    </row>
    <row r="14" spans="2:21" x14ac:dyDescent="0.2">
      <c r="B14" s="30"/>
      <c r="C14" s="36"/>
      <c r="D14" t="s">
        <v>30</v>
      </c>
      <c r="L14" s="32"/>
      <c r="M14" s="32"/>
      <c r="N14" s="32"/>
      <c r="O14" s="33"/>
      <c r="P14" s="33">
        <v>0</v>
      </c>
      <c r="Q14" s="38" t="s">
        <v>20</v>
      </c>
      <c r="R14" s="35" t="b">
        <v>0</v>
      </c>
    </row>
    <row r="15" spans="2:21" x14ac:dyDescent="0.2">
      <c r="B15" s="30"/>
      <c r="C15" s="36"/>
      <c r="D15" s="44" t="s">
        <v>31</v>
      </c>
      <c r="E15" s="44"/>
      <c r="G15">
        <v>1</v>
      </c>
      <c r="H15" t="s">
        <v>32</v>
      </c>
      <c r="L15" s="32" t="s">
        <v>87</v>
      </c>
      <c r="M15" s="32">
        <v>6</v>
      </c>
      <c r="N15" s="32"/>
      <c r="O15" s="33"/>
      <c r="P15" s="33">
        <v>0</v>
      </c>
      <c r="Q15" s="38" t="s">
        <v>20</v>
      </c>
      <c r="R15" s="35" t="b">
        <v>0</v>
      </c>
    </row>
    <row r="16" spans="2:21" x14ac:dyDescent="0.2">
      <c r="B16" s="30"/>
      <c r="C16" s="36"/>
      <c r="D16" s="44" t="s">
        <v>33</v>
      </c>
      <c r="E16" s="44"/>
      <c r="G16">
        <v>2</v>
      </c>
      <c r="H16" t="s">
        <v>32</v>
      </c>
      <c r="L16" s="32">
        <v>2</v>
      </c>
      <c r="M16" s="32">
        <v>2</v>
      </c>
      <c r="N16" s="32"/>
      <c r="O16" s="33"/>
      <c r="P16" s="33">
        <v>0</v>
      </c>
      <c r="Q16" s="38" t="s">
        <v>20</v>
      </c>
      <c r="R16" s="35" t="b">
        <v>0</v>
      </c>
      <c r="U16" t="s">
        <v>87</v>
      </c>
    </row>
    <row r="17" spans="2:18" x14ac:dyDescent="0.2">
      <c r="B17" s="30"/>
      <c r="C17" s="36"/>
      <c r="D17" s="44" t="s">
        <v>34</v>
      </c>
      <c r="E17" s="44"/>
      <c r="G17">
        <v>1</v>
      </c>
      <c r="H17" t="s">
        <v>32</v>
      </c>
      <c r="L17" s="32">
        <v>2</v>
      </c>
      <c r="M17" s="32">
        <v>8</v>
      </c>
      <c r="N17" s="32"/>
      <c r="O17" s="33"/>
      <c r="P17" s="33">
        <v>0</v>
      </c>
      <c r="Q17" s="38" t="s">
        <v>20</v>
      </c>
      <c r="R17" s="35" t="b">
        <v>0</v>
      </c>
    </row>
    <row r="18" spans="2:18" x14ac:dyDescent="0.2">
      <c r="B18" s="30"/>
      <c r="C18" s="36"/>
      <c r="D18" s="45" t="s">
        <v>35</v>
      </c>
      <c r="E18" s="45"/>
      <c r="G18">
        <v>12</v>
      </c>
      <c r="H18" t="s">
        <v>32</v>
      </c>
      <c r="L18" s="32">
        <v>2</v>
      </c>
      <c r="M18" s="32">
        <v>5</v>
      </c>
      <c r="N18" s="32"/>
      <c r="O18" s="33"/>
      <c r="P18" s="33">
        <v>0</v>
      </c>
      <c r="Q18" s="38" t="s">
        <v>20</v>
      </c>
      <c r="R18" s="35" t="b">
        <v>0</v>
      </c>
    </row>
    <row r="19" spans="2:18" x14ac:dyDescent="0.2">
      <c r="B19" s="30"/>
      <c r="C19" s="36"/>
      <c r="D19" s="45" t="s">
        <v>36</v>
      </c>
      <c r="E19" s="45"/>
      <c r="G19" s="46">
        <v>2</v>
      </c>
      <c r="H19" s="46" t="s">
        <v>32</v>
      </c>
      <c r="L19" s="32">
        <v>2</v>
      </c>
      <c r="M19" s="32">
        <v>12</v>
      </c>
      <c r="N19" s="37"/>
      <c r="O19" s="33"/>
      <c r="P19" s="33">
        <v>0</v>
      </c>
      <c r="Q19" s="38" t="s">
        <v>20</v>
      </c>
      <c r="R19" s="35" t="b">
        <v>0</v>
      </c>
    </row>
    <row r="20" spans="2:18" x14ac:dyDescent="0.2">
      <c r="B20" s="30"/>
      <c r="C20" s="36"/>
      <c r="D20" s="45" t="s">
        <v>37</v>
      </c>
      <c r="E20" s="45"/>
      <c r="G20" s="46">
        <v>2</v>
      </c>
      <c r="H20" s="46" t="s">
        <v>32</v>
      </c>
      <c r="L20" s="32">
        <v>1</v>
      </c>
      <c r="M20" s="32">
        <v>2</v>
      </c>
      <c r="N20" s="37"/>
      <c r="O20" s="33"/>
      <c r="P20" s="33">
        <v>0</v>
      </c>
      <c r="Q20" s="38" t="s">
        <v>20</v>
      </c>
      <c r="R20" s="35" t="b">
        <v>0</v>
      </c>
    </row>
    <row r="21" spans="2:18" x14ac:dyDescent="0.2">
      <c r="B21" s="30"/>
      <c r="C21" s="36"/>
      <c r="D21" s="45" t="s">
        <v>38</v>
      </c>
      <c r="E21" s="45"/>
      <c r="G21" s="46">
        <v>1</v>
      </c>
      <c r="H21" s="46" t="s">
        <v>32</v>
      </c>
      <c r="L21" s="32">
        <v>1</v>
      </c>
      <c r="M21" s="32">
        <v>2</v>
      </c>
      <c r="N21" s="37"/>
      <c r="O21" s="33"/>
      <c r="P21" s="33">
        <v>0</v>
      </c>
      <c r="Q21" s="38" t="s">
        <v>20</v>
      </c>
      <c r="R21" s="35" t="b">
        <v>0</v>
      </c>
    </row>
    <row r="22" spans="2:18" x14ac:dyDescent="0.2">
      <c r="B22" s="30"/>
      <c r="C22" s="36"/>
      <c r="D22" s="45" t="s">
        <v>39</v>
      </c>
      <c r="E22" s="45"/>
      <c r="G22" s="46">
        <v>1</v>
      </c>
      <c r="H22" s="46" t="s">
        <v>32</v>
      </c>
      <c r="L22" s="32">
        <v>2</v>
      </c>
      <c r="M22" s="32">
        <v>2</v>
      </c>
      <c r="N22" s="32"/>
      <c r="O22" s="33"/>
      <c r="P22" s="33">
        <v>0</v>
      </c>
      <c r="Q22" s="38" t="s">
        <v>20</v>
      </c>
      <c r="R22" s="35" t="b">
        <v>0</v>
      </c>
    </row>
    <row r="23" spans="2:18" x14ac:dyDescent="0.2">
      <c r="B23" s="30"/>
      <c r="C23" s="36"/>
      <c r="D23" s="45" t="s">
        <v>40</v>
      </c>
      <c r="E23" s="45"/>
      <c r="G23" s="46">
        <v>1</v>
      </c>
      <c r="H23" s="46" t="s">
        <v>32</v>
      </c>
      <c r="L23" s="32">
        <v>2</v>
      </c>
      <c r="M23" s="32">
        <v>2</v>
      </c>
      <c r="N23" s="32"/>
      <c r="O23" s="33"/>
      <c r="P23" s="33">
        <v>0</v>
      </c>
      <c r="Q23" s="38" t="s">
        <v>20</v>
      </c>
      <c r="R23" s="35" t="b">
        <v>0</v>
      </c>
    </row>
    <row r="24" spans="2:18" x14ac:dyDescent="0.2">
      <c r="B24" s="30"/>
      <c r="C24" s="36"/>
      <c r="D24" s="44" t="s">
        <v>41</v>
      </c>
      <c r="E24" s="44"/>
      <c r="G24" s="46">
        <v>12</v>
      </c>
      <c r="H24" s="46" t="s">
        <v>32</v>
      </c>
      <c r="L24" s="32">
        <v>2</v>
      </c>
      <c r="M24" s="32">
        <v>2</v>
      </c>
      <c r="N24" s="37"/>
      <c r="O24" s="33"/>
      <c r="P24" s="33">
        <v>0</v>
      </c>
      <c r="Q24" s="38" t="s">
        <v>20</v>
      </c>
      <c r="R24" s="35" t="b">
        <v>0</v>
      </c>
    </row>
    <row r="25" spans="2:18" x14ac:dyDescent="0.2">
      <c r="B25" s="30"/>
      <c r="C25" s="36"/>
      <c r="D25" t="s">
        <v>42</v>
      </c>
      <c r="L25" s="32">
        <v>2</v>
      </c>
      <c r="M25" s="32">
        <v>10</v>
      </c>
      <c r="N25" s="37"/>
      <c r="O25" s="33"/>
      <c r="P25" s="33">
        <v>0</v>
      </c>
      <c r="Q25" s="38" t="s">
        <v>20</v>
      </c>
      <c r="R25" s="35" t="b">
        <v>0</v>
      </c>
    </row>
    <row r="26" spans="2:18" x14ac:dyDescent="0.2">
      <c r="B26" s="30"/>
      <c r="C26" s="36"/>
      <c r="D26" t="s">
        <v>43</v>
      </c>
      <c r="L26" s="32">
        <v>1</v>
      </c>
      <c r="M26" s="32">
        <v>4</v>
      </c>
      <c r="N26" s="32"/>
      <c r="O26" s="32"/>
      <c r="P26" s="33">
        <v>0</v>
      </c>
      <c r="Q26" s="38"/>
      <c r="R26" s="35" t="b">
        <v>0</v>
      </c>
    </row>
    <row r="27" spans="2:18" x14ac:dyDescent="0.2">
      <c r="B27" s="21">
        <v>3</v>
      </c>
      <c r="C27" s="22" t="s">
        <v>44</v>
      </c>
      <c r="D27" s="23"/>
      <c r="E27" s="23"/>
      <c r="F27" s="23"/>
      <c r="G27" s="23"/>
      <c r="H27" s="23"/>
      <c r="I27" s="23"/>
      <c r="J27" s="23"/>
      <c r="K27" s="23"/>
      <c r="L27" s="39"/>
      <c r="M27" s="26"/>
      <c r="N27" s="26"/>
      <c r="O27" s="26"/>
      <c r="P27" s="48">
        <f>SUM(P28:P32)</f>
        <v>0</v>
      </c>
      <c r="Q27" s="41"/>
      <c r="R27" s="49"/>
    </row>
    <row r="28" spans="2:18" x14ac:dyDescent="0.2">
      <c r="B28" s="30"/>
      <c r="C28" s="36"/>
      <c r="D28" t="s">
        <v>45</v>
      </c>
      <c r="L28" s="32">
        <v>1</v>
      </c>
      <c r="M28" s="32">
        <v>5</v>
      </c>
      <c r="N28" s="32"/>
      <c r="O28" s="33"/>
      <c r="P28" s="33">
        <v>0</v>
      </c>
      <c r="Q28" s="38" t="s">
        <v>20</v>
      </c>
      <c r="R28" s="35" t="b">
        <v>0</v>
      </c>
    </row>
    <row r="29" spans="2:18" x14ac:dyDescent="0.2">
      <c r="B29" s="30"/>
      <c r="C29" s="36"/>
      <c r="D29" s="46" t="s">
        <v>46</v>
      </c>
      <c r="L29" s="32">
        <v>2</v>
      </c>
      <c r="M29" s="32">
        <v>5</v>
      </c>
      <c r="N29" s="32"/>
      <c r="O29" s="33"/>
      <c r="P29" s="33">
        <v>0</v>
      </c>
      <c r="Q29" s="38" t="s">
        <v>20</v>
      </c>
      <c r="R29" s="35" t="b">
        <v>0</v>
      </c>
    </row>
    <row r="30" spans="2:18" x14ac:dyDescent="0.2">
      <c r="B30" s="30"/>
      <c r="C30" s="36"/>
      <c r="D30" t="s">
        <v>47</v>
      </c>
      <c r="L30" s="32">
        <v>1</v>
      </c>
      <c r="M30" s="32">
        <v>4</v>
      </c>
      <c r="N30" s="32"/>
      <c r="O30" s="33"/>
      <c r="P30" s="33">
        <v>0</v>
      </c>
      <c r="Q30" s="38" t="s">
        <v>20</v>
      </c>
      <c r="R30" s="35" t="b">
        <v>0</v>
      </c>
    </row>
    <row r="31" spans="2:18" x14ac:dyDescent="0.2">
      <c r="B31" s="30"/>
      <c r="C31" s="36"/>
      <c r="D31" t="s">
        <v>48</v>
      </c>
      <c r="L31" s="32">
        <v>1</v>
      </c>
      <c r="M31" s="32">
        <v>8</v>
      </c>
      <c r="N31" s="32"/>
      <c r="O31" s="33"/>
      <c r="P31" s="33">
        <v>0</v>
      </c>
      <c r="Q31" s="38" t="s">
        <v>20</v>
      </c>
      <c r="R31" s="35" t="b">
        <v>0</v>
      </c>
    </row>
    <row r="32" spans="2:18" x14ac:dyDescent="0.2">
      <c r="B32" s="30"/>
      <c r="C32" s="36"/>
      <c r="D32" t="s">
        <v>49</v>
      </c>
      <c r="K32" t="s">
        <v>86</v>
      </c>
      <c r="L32" s="32"/>
      <c r="M32" s="32"/>
      <c r="N32" s="32"/>
      <c r="O32" s="32"/>
      <c r="P32" s="33">
        <v>0</v>
      </c>
      <c r="Q32" s="34" t="s">
        <v>18</v>
      </c>
      <c r="R32" s="35" t="b">
        <v>0</v>
      </c>
    </row>
    <row r="33" spans="2:18" x14ac:dyDescent="0.2">
      <c r="B33" s="21">
        <v>4</v>
      </c>
      <c r="C33" s="22" t="s">
        <v>50</v>
      </c>
      <c r="D33" s="23"/>
      <c r="E33" s="23"/>
      <c r="F33" s="23"/>
      <c r="G33" s="23"/>
      <c r="H33" s="23"/>
      <c r="I33" s="23"/>
      <c r="J33" s="23"/>
      <c r="K33" s="23"/>
      <c r="L33" s="39"/>
      <c r="M33" s="26"/>
      <c r="N33" s="26"/>
      <c r="O33" s="22"/>
      <c r="P33" s="22">
        <f>SUM(P34:P38)</f>
        <v>0</v>
      </c>
      <c r="Q33" s="41"/>
      <c r="R33" s="49"/>
    </row>
    <row r="34" spans="2:18" x14ac:dyDescent="0.2">
      <c r="B34" s="30"/>
      <c r="C34" s="36"/>
      <c r="D34" t="s">
        <v>51</v>
      </c>
      <c r="L34" s="32"/>
      <c r="M34" s="32"/>
      <c r="N34" s="32"/>
      <c r="O34" s="32"/>
      <c r="P34" s="33">
        <f>N34*M34*L34</f>
        <v>0</v>
      </c>
      <c r="Q34" s="34" t="s">
        <v>52</v>
      </c>
      <c r="R34" s="35" t="b">
        <v>0</v>
      </c>
    </row>
    <row r="35" spans="2:18" x14ac:dyDescent="0.2">
      <c r="B35" s="30"/>
      <c r="C35" s="36"/>
      <c r="D35" t="s">
        <v>53</v>
      </c>
      <c r="L35" s="32"/>
      <c r="M35" s="32"/>
      <c r="N35" s="32"/>
      <c r="O35" s="32"/>
      <c r="P35" s="33">
        <f>N35*M35*L35</f>
        <v>0</v>
      </c>
      <c r="Q35" s="34" t="s">
        <v>52</v>
      </c>
      <c r="R35" s="35" t="b">
        <v>0</v>
      </c>
    </row>
    <row r="36" spans="2:18" x14ac:dyDescent="0.2">
      <c r="B36" s="30"/>
      <c r="C36" s="36"/>
      <c r="D36" t="s">
        <v>54</v>
      </c>
      <c r="L36" s="32"/>
      <c r="M36" s="32"/>
      <c r="N36" s="32"/>
      <c r="O36" s="32"/>
      <c r="P36" s="33">
        <f>N36*M36*L36</f>
        <v>0</v>
      </c>
      <c r="Q36" s="34" t="s">
        <v>55</v>
      </c>
      <c r="R36" s="35" t="b">
        <v>0</v>
      </c>
    </row>
    <row r="37" spans="2:18" x14ac:dyDescent="0.2">
      <c r="B37" s="30"/>
      <c r="C37" s="36"/>
      <c r="D37" t="s">
        <v>56</v>
      </c>
      <c r="L37" s="32"/>
      <c r="M37" s="32"/>
      <c r="N37" s="32"/>
      <c r="O37" s="32"/>
      <c r="P37" s="33">
        <f>N37*M37*L37</f>
        <v>0</v>
      </c>
      <c r="Q37" s="34" t="s">
        <v>18</v>
      </c>
      <c r="R37" s="35" t="b">
        <v>0</v>
      </c>
    </row>
    <row r="38" spans="2:18" x14ac:dyDescent="0.2">
      <c r="B38" s="30"/>
      <c r="C38" s="36"/>
      <c r="D38" t="s">
        <v>57</v>
      </c>
      <c r="L38" s="32"/>
      <c r="M38" s="32"/>
      <c r="N38" s="32"/>
      <c r="O38" s="32"/>
      <c r="P38" s="33">
        <f>N38*M38*L38</f>
        <v>0</v>
      </c>
      <c r="Q38" s="34" t="s">
        <v>58</v>
      </c>
      <c r="R38" s="35" t="b">
        <v>0</v>
      </c>
    </row>
    <row r="39" spans="2:18" x14ac:dyDescent="0.2">
      <c r="B39" s="21">
        <v>5</v>
      </c>
      <c r="C39" s="22" t="s">
        <v>59</v>
      </c>
      <c r="D39" s="23"/>
      <c r="E39" s="23"/>
      <c r="F39" s="23"/>
      <c r="G39" s="23"/>
      <c r="H39" s="23"/>
      <c r="I39" s="23"/>
      <c r="J39" s="23"/>
      <c r="K39" s="23"/>
      <c r="L39" s="39"/>
      <c r="M39" s="26"/>
      <c r="N39" s="26"/>
      <c r="O39" s="22"/>
      <c r="P39" s="22">
        <f>SUM(P40:P43)</f>
        <v>0</v>
      </c>
      <c r="Q39" s="41"/>
      <c r="R39" s="49"/>
    </row>
    <row r="40" spans="2:18" x14ac:dyDescent="0.2">
      <c r="B40" s="30"/>
      <c r="C40" s="36"/>
      <c r="D40" t="s">
        <v>60</v>
      </c>
      <c r="L40" s="32"/>
      <c r="M40" s="32"/>
      <c r="N40" s="32"/>
      <c r="O40" s="32"/>
      <c r="P40" s="33">
        <f>N40*M40*L40</f>
        <v>0</v>
      </c>
      <c r="Q40" s="50" t="s">
        <v>18</v>
      </c>
      <c r="R40" s="35" t="b">
        <v>0</v>
      </c>
    </row>
    <row r="41" spans="2:18" x14ac:dyDescent="0.2">
      <c r="B41" s="30"/>
      <c r="C41" s="36"/>
      <c r="D41" t="s">
        <v>61</v>
      </c>
      <c r="L41" s="32"/>
      <c r="M41" s="32"/>
      <c r="N41" s="32"/>
      <c r="O41" s="32"/>
      <c r="P41" s="33">
        <f>N41*M41*L41</f>
        <v>0</v>
      </c>
      <c r="Q41" s="50" t="s">
        <v>18</v>
      </c>
      <c r="R41" s="35" t="b">
        <v>0</v>
      </c>
    </row>
    <row r="42" spans="2:18" x14ac:dyDescent="0.2">
      <c r="B42" s="30"/>
      <c r="C42" s="36"/>
      <c r="D42" t="s">
        <v>62</v>
      </c>
      <c r="L42" s="32"/>
      <c r="M42" s="32"/>
      <c r="N42" s="32"/>
      <c r="O42" s="32"/>
      <c r="P42" s="33">
        <f>N42*M42*L42</f>
        <v>0</v>
      </c>
      <c r="Q42" s="50" t="s">
        <v>18</v>
      </c>
      <c r="R42" s="35" t="b">
        <v>0</v>
      </c>
    </row>
    <row r="43" spans="2:18" x14ac:dyDescent="0.2">
      <c r="B43" s="30"/>
      <c r="C43" s="36"/>
      <c r="D43" t="s">
        <v>63</v>
      </c>
      <c r="L43" s="32">
        <v>0</v>
      </c>
      <c r="M43" s="32"/>
      <c r="N43" s="32"/>
      <c r="O43" s="32"/>
      <c r="P43" s="33">
        <f>N43*M43*L43</f>
        <v>0</v>
      </c>
      <c r="Q43" s="50" t="s">
        <v>18</v>
      </c>
      <c r="R43" s="35" t="b">
        <v>0</v>
      </c>
    </row>
    <row r="44" spans="2:18" x14ac:dyDescent="0.2">
      <c r="B44" s="21">
        <v>6</v>
      </c>
      <c r="C44" s="22" t="s">
        <v>64</v>
      </c>
      <c r="D44" s="23"/>
      <c r="E44" s="23"/>
      <c r="F44" s="23"/>
      <c r="G44" s="23"/>
      <c r="H44" s="23"/>
      <c r="I44" s="23"/>
      <c r="J44" s="23"/>
      <c r="K44" s="23"/>
      <c r="L44" s="39"/>
      <c r="M44" s="26"/>
      <c r="N44" s="26"/>
      <c r="O44" s="26"/>
      <c r="P44" s="48">
        <f>SUM(P45:P56)</f>
        <v>0</v>
      </c>
      <c r="Q44" s="22"/>
      <c r="R44" s="49"/>
    </row>
    <row r="45" spans="2:18" x14ac:dyDescent="0.2">
      <c r="B45" s="30"/>
      <c r="C45" s="36"/>
      <c r="D45" t="s">
        <v>65</v>
      </c>
      <c r="L45" s="32">
        <v>1</v>
      </c>
      <c r="M45" s="32">
        <v>5</v>
      </c>
      <c r="N45" s="32"/>
      <c r="O45" s="32"/>
      <c r="P45" s="33">
        <v>0</v>
      </c>
      <c r="Q45" s="38" t="s">
        <v>20</v>
      </c>
      <c r="R45" s="35" t="b">
        <v>0</v>
      </c>
    </row>
    <row r="46" spans="2:18" x14ac:dyDescent="0.2">
      <c r="B46" s="30"/>
      <c r="C46" s="36"/>
      <c r="D46" t="s">
        <v>66</v>
      </c>
      <c r="L46" s="32">
        <v>2</v>
      </c>
      <c r="M46" s="32">
        <v>8</v>
      </c>
      <c r="N46" s="32"/>
      <c r="O46" s="32"/>
      <c r="P46" s="33">
        <v>0</v>
      </c>
      <c r="Q46" s="38" t="s">
        <v>20</v>
      </c>
      <c r="R46" s="35" t="b">
        <v>0</v>
      </c>
    </row>
    <row r="47" spans="2:18" x14ac:dyDescent="0.2">
      <c r="B47" s="30"/>
      <c r="C47" s="36"/>
      <c r="D47" t="s">
        <v>67</v>
      </c>
      <c r="L47" s="32">
        <v>2</v>
      </c>
      <c r="M47" s="32">
        <v>30</v>
      </c>
      <c r="N47" s="32"/>
      <c r="O47" s="32"/>
      <c r="P47" s="33">
        <v>0</v>
      </c>
      <c r="Q47" s="38" t="s">
        <v>20</v>
      </c>
      <c r="R47" s="35"/>
    </row>
    <row r="48" spans="2:18" x14ac:dyDescent="0.2">
      <c r="B48" s="30"/>
      <c r="C48" s="36"/>
      <c r="D48" t="s">
        <v>68</v>
      </c>
      <c r="L48" s="32"/>
      <c r="M48" s="32"/>
      <c r="N48" s="32"/>
      <c r="O48" s="32"/>
      <c r="P48" s="33">
        <v>0</v>
      </c>
      <c r="Q48" s="38" t="s">
        <v>20</v>
      </c>
      <c r="R48" s="35" t="b">
        <v>0</v>
      </c>
    </row>
    <row r="49" spans="2:18" x14ac:dyDescent="0.2">
      <c r="B49" s="30"/>
      <c r="C49" s="36"/>
      <c r="D49" s="44" t="s">
        <v>31</v>
      </c>
      <c r="E49" s="44"/>
      <c r="G49">
        <v>1</v>
      </c>
      <c r="H49" t="s">
        <v>32</v>
      </c>
      <c r="L49" s="32">
        <v>2</v>
      </c>
      <c r="M49" s="32">
        <v>6</v>
      </c>
      <c r="N49" s="32"/>
      <c r="O49" s="32"/>
      <c r="P49" s="33">
        <v>0</v>
      </c>
      <c r="Q49" s="38" t="s">
        <v>20</v>
      </c>
      <c r="R49" s="35" t="b">
        <v>0</v>
      </c>
    </row>
    <row r="50" spans="2:18" x14ac:dyDescent="0.2">
      <c r="B50" s="30"/>
      <c r="C50" s="36"/>
      <c r="D50" s="44" t="s">
        <v>33</v>
      </c>
      <c r="E50" s="44"/>
      <c r="G50">
        <v>2</v>
      </c>
      <c r="H50" t="s">
        <v>32</v>
      </c>
      <c r="L50" s="32">
        <v>2</v>
      </c>
      <c r="M50" s="32">
        <v>3</v>
      </c>
      <c r="N50" s="32"/>
      <c r="O50" s="32"/>
      <c r="P50" s="33">
        <v>0</v>
      </c>
      <c r="Q50" s="38" t="s">
        <v>20</v>
      </c>
      <c r="R50" s="35" t="b">
        <v>0</v>
      </c>
    </row>
    <row r="51" spans="2:18" x14ac:dyDescent="0.2">
      <c r="B51" s="30"/>
      <c r="C51" s="36"/>
      <c r="D51" s="45" t="s">
        <v>35</v>
      </c>
      <c r="E51" s="45"/>
      <c r="G51">
        <v>12</v>
      </c>
      <c r="H51" t="s">
        <v>32</v>
      </c>
      <c r="L51" s="32">
        <v>2</v>
      </c>
      <c r="M51" s="32">
        <v>6</v>
      </c>
      <c r="N51" s="32"/>
      <c r="O51" s="32"/>
      <c r="P51" s="33">
        <v>0</v>
      </c>
      <c r="Q51" s="38" t="s">
        <v>20</v>
      </c>
      <c r="R51" s="35" t="b">
        <v>0</v>
      </c>
    </row>
    <row r="52" spans="2:18" x14ac:dyDescent="0.2">
      <c r="B52" s="30"/>
      <c r="C52" s="36"/>
      <c r="D52" s="45" t="s">
        <v>36</v>
      </c>
      <c r="E52" s="45"/>
      <c r="G52" s="46">
        <v>2</v>
      </c>
      <c r="H52" s="46" t="s">
        <v>32</v>
      </c>
      <c r="L52" s="32">
        <v>2</v>
      </c>
      <c r="M52" s="32">
        <v>12</v>
      </c>
      <c r="N52" s="32"/>
      <c r="O52" s="32"/>
      <c r="P52" s="33">
        <v>0</v>
      </c>
      <c r="Q52" s="38" t="s">
        <v>20</v>
      </c>
      <c r="R52" s="35" t="b">
        <v>0</v>
      </c>
    </row>
    <row r="53" spans="2:18" x14ac:dyDescent="0.2">
      <c r="B53" s="30"/>
      <c r="C53" s="36"/>
      <c r="D53" s="45" t="s">
        <v>37</v>
      </c>
      <c r="E53" s="45"/>
      <c r="G53" s="46">
        <v>2</v>
      </c>
      <c r="H53" s="46" t="s">
        <v>32</v>
      </c>
      <c r="L53" s="32">
        <v>2</v>
      </c>
      <c r="M53" s="32">
        <v>5</v>
      </c>
      <c r="N53" s="32"/>
      <c r="O53" s="32"/>
      <c r="P53" s="33">
        <v>0</v>
      </c>
      <c r="Q53" s="38" t="s">
        <v>20</v>
      </c>
      <c r="R53" s="35" t="b">
        <v>0</v>
      </c>
    </row>
    <row r="54" spans="2:18" x14ac:dyDescent="0.2">
      <c r="B54" s="30"/>
      <c r="C54" s="36"/>
      <c r="D54" s="45" t="s">
        <v>38</v>
      </c>
      <c r="E54" s="45"/>
      <c r="G54" s="46">
        <v>1</v>
      </c>
      <c r="H54" s="46" t="s">
        <v>32</v>
      </c>
      <c r="L54" s="32">
        <v>2</v>
      </c>
      <c r="M54" s="32">
        <v>5</v>
      </c>
      <c r="N54" s="32"/>
      <c r="O54" s="32"/>
      <c r="P54" s="33">
        <v>0</v>
      </c>
      <c r="Q54" s="38" t="s">
        <v>20</v>
      </c>
      <c r="R54" s="35" t="b">
        <v>0</v>
      </c>
    </row>
    <row r="55" spans="2:18" x14ac:dyDescent="0.2">
      <c r="B55" s="30"/>
      <c r="C55" s="36"/>
      <c r="D55" s="45" t="s">
        <v>39</v>
      </c>
      <c r="E55" s="45"/>
      <c r="G55" s="46">
        <v>1</v>
      </c>
      <c r="H55" s="46" t="s">
        <v>32</v>
      </c>
      <c r="L55" s="32">
        <v>2</v>
      </c>
      <c r="M55" s="32">
        <v>5</v>
      </c>
      <c r="N55" s="32"/>
      <c r="O55" s="32"/>
      <c r="P55" s="33">
        <v>0</v>
      </c>
      <c r="Q55" s="38" t="s">
        <v>20</v>
      </c>
      <c r="R55" s="35" t="b">
        <v>0</v>
      </c>
    </row>
    <row r="56" spans="2:18" x14ac:dyDescent="0.2">
      <c r="B56" s="30"/>
      <c r="C56" s="36"/>
      <c r="D56" s="44" t="s">
        <v>69</v>
      </c>
      <c r="E56" s="44"/>
      <c r="G56" s="46">
        <v>12</v>
      </c>
      <c r="H56" s="46" t="s">
        <v>32</v>
      </c>
      <c r="L56" s="32">
        <v>2</v>
      </c>
      <c r="M56" s="32">
        <v>5</v>
      </c>
      <c r="N56" s="32"/>
      <c r="O56" s="32"/>
      <c r="P56" s="33">
        <v>0</v>
      </c>
      <c r="Q56" s="38" t="s">
        <v>20</v>
      </c>
      <c r="R56" s="35" t="b">
        <v>0</v>
      </c>
    </row>
    <row r="57" spans="2:18" x14ac:dyDescent="0.2">
      <c r="B57" s="21">
        <v>7</v>
      </c>
      <c r="C57" s="22" t="s">
        <v>70</v>
      </c>
      <c r="D57" s="23"/>
      <c r="E57" s="23"/>
      <c r="F57" s="23"/>
      <c r="G57" s="23"/>
      <c r="H57" s="23"/>
      <c r="I57" s="23"/>
      <c r="J57" s="23"/>
      <c r="K57" s="23"/>
      <c r="L57" s="39"/>
      <c r="M57" s="26"/>
      <c r="N57" s="26"/>
      <c r="O57" s="26"/>
      <c r="P57" s="48">
        <f>SUM(P58:P60)</f>
        <v>0</v>
      </c>
      <c r="Q57" s="22"/>
      <c r="R57" s="49"/>
    </row>
    <row r="58" spans="2:18" x14ac:dyDescent="0.2">
      <c r="B58" s="30"/>
      <c r="C58" s="36"/>
      <c r="D58" t="s">
        <v>71</v>
      </c>
      <c r="L58" s="32">
        <v>2</v>
      </c>
      <c r="M58" s="32">
        <v>11</v>
      </c>
      <c r="N58" s="32"/>
      <c r="O58" s="32"/>
      <c r="P58" s="33">
        <v>0</v>
      </c>
      <c r="Q58" s="38" t="s">
        <v>20</v>
      </c>
      <c r="R58" s="35" t="b">
        <v>0</v>
      </c>
    </row>
    <row r="59" spans="2:18" x14ac:dyDescent="0.2">
      <c r="B59" s="30"/>
      <c r="C59" s="36"/>
      <c r="D59" t="s">
        <v>72</v>
      </c>
      <c r="L59" s="32">
        <v>2</v>
      </c>
      <c r="M59" s="32">
        <v>11</v>
      </c>
      <c r="N59" s="32"/>
      <c r="O59" s="32"/>
      <c r="P59" s="33">
        <v>0</v>
      </c>
      <c r="Q59" s="38" t="s">
        <v>20</v>
      </c>
      <c r="R59" s="35" t="b">
        <v>0</v>
      </c>
    </row>
    <row r="60" spans="2:18" x14ac:dyDescent="0.2">
      <c r="B60" s="30"/>
      <c r="C60" s="36"/>
      <c r="D60" t="s">
        <v>73</v>
      </c>
      <c r="L60" s="32">
        <v>2</v>
      </c>
      <c r="M60" s="32">
        <v>11</v>
      </c>
      <c r="N60" s="32"/>
      <c r="O60" s="32"/>
      <c r="P60" s="33">
        <v>0</v>
      </c>
      <c r="Q60" s="38" t="s">
        <v>20</v>
      </c>
      <c r="R60" s="35" t="b">
        <v>0</v>
      </c>
    </row>
    <row r="61" spans="2:18" x14ac:dyDescent="0.2">
      <c r="B61" s="21">
        <v>8</v>
      </c>
      <c r="C61" s="22" t="s">
        <v>74</v>
      </c>
      <c r="D61" s="23"/>
      <c r="E61" s="23"/>
      <c r="F61" s="23"/>
      <c r="G61" s="23"/>
      <c r="H61" s="23"/>
      <c r="I61" s="23"/>
      <c r="J61" s="23"/>
      <c r="K61" s="23"/>
      <c r="L61" s="39"/>
      <c r="M61" s="26"/>
      <c r="N61" s="26"/>
      <c r="O61" s="26"/>
      <c r="P61" s="48">
        <f>SUM(P62:P67)</f>
        <v>0</v>
      </c>
      <c r="Q61" s="22"/>
      <c r="R61" s="51"/>
    </row>
    <row r="62" spans="2:18" x14ac:dyDescent="0.2">
      <c r="B62" s="52"/>
      <c r="D62" t="s">
        <v>75</v>
      </c>
      <c r="L62" s="32">
        <v>1</v>
      </c>
      <c r="M62" s="32">
        <v>2</v>
      </c>
      <c r="N62" s="32"/>
      <c r="O62" s="32"/>
      <c r="P62" s="33">
        <v>0</v>
      </c>
      <c r="Q62" s="38" t="s">
        <v>20</v>
      </c>
      <c r="R62" s="35" t="b">
        <v>0</v>
      </c>
    </row>
    <row r="63" spans="2:18" x14ac:dyDescent="0.2">
      <c r="B63" s="52"/>
      <c r="D63" t="s">
        <v>76</v>
      </c>
      <c r="L63" s="32">
        <v>1</v>
      </c>
      <c r="M63" s="32">
        <v>2</v>
      </c>
      <c r="N63" s="32"/>
      <c r="O63" s="32"/>
      <c r="P63" s="33">
        <v>0</v>
      </c>
      <c r="Q63" s="38" t="s">
        <v>20</v>
      </c>
      <c r="R63" s="35" t="b">
        <v>0</v>
      </c>
    </row>
    <row r="64" spans="2:18" x14ac:dyDescent="0.2">
      <c r="B64" s="52"/>
      <c r="D64" t="s">
        <v>74</v>
      </c>
      <c r="L64" s="32">
        <v>1</v>
      </c>
      <c r="M64" s="32">
        <v>2</v>
      </c>
      <c r="N64" s="32"/>
      <c r="O64" s="32"/>
      <c r="P64" s="33">
        <v>0</v>
      </c>
      <c r="Q64" s="38" t="s">
        <v>20</v>
      </c>
      <c r="R64" s="35" t="b">
        <v>0</v>
      </c>
    </row>
    <row r="65" spans="2:18" x14ac:dyDescent="0.2">
      <c r="B65" s="52"/>
      <c r="D65" t="s">
        <v>77</v>
      </c>
      <c r="L65" s="32">
        <v>1</v>
      </c>
      <c r="M65" s="32"/>
      <c r="N65" s="32"/>
      <c r="O65" s="32"/>
      <c r="P65" s="33">
        <v>0</v>
      </c>
      <c r="Q65" s="38" t="s">
        <v>20</v>
      </c>
      <c r="R65" s="35" t="b">
        <v>0</v>
      </c>
    </row>
    <row r="66" spans="2:18" x14ac:dyDescent="0.2">
      <c r="B66" s="52"/>
      <c r="D66" t="s">
        <v>78</v>
      </c>
      <c r="L66" s="32">
        <v>1</v>
      </c>
      <c r="M66" s="32">
        <v>2</v>
      </c>
      <c r="N66" s="32"/>
      <c r="O66" s="32"/>
      <c r="P66" s="33">
        <v>0</v>
      </c>
      <c r="Q66" s="38" t="s">
        <v>20</v>
      </c>
      <c r="R66" s="35" t="b">
        <v>0</v>
      </c>
    </row>
    <row r="67" spans="2:18" x14ac:dyDescent="0.2">
      <c r="B67" s="52"/>
      <c r="D67" t="s">
        <v>79</v>
      </c>
      <c r="L67" s="32">
        <v>1</v>
      </c>
      <c r="M67" s="32"/>
      <c r="N67" s="32"/>
      <c r="O67" s="32"/>
      <c r="P67" s="33">
        <v>0</v>
      </c>
      <c r="Q67" s="38" t="s">
        <v>20</v>
      </c>
      <c r="R67" s="35" t="b">
        <v>0</v>
      </c>
    </row>
    <row r="68" spans="2:18" x14ac:dyDescent="0.2">
      <c r="B68" s="53">
        <v>9</v>
      </c>
      <c r="C68" s="54" t="s">
        <v>80</v>
      </c>
      <c r="D68" s="55"/>
      <c r="E68" s="55"/>
      <c r="F68" s="55"/>
      <c r="G68" s="55"/>
      <c r="H68" s="55"/>
      <c r="I68" s="55"/>
      <c r="J68" s="55"/>
      <c r="K68" s="55"/>
      <c r="L68" s="56"/>
      <c r="M68" s="55"/>
      <c r="N68" s="55"/>
      <c r="O68" s="26"/>
      <c r="P68" s="48">
        <f>SUM(P69)</f>
        <v>0</v>
      </c>
      <c r="Q68" s="55"/>
      <c r="R68" s="57"/>
    </row>
    <row r="69" spans="2:18" ht="38.25" x14ac:dyDescent="0.2">
      <c r="B69" s="30"/>
      <c r="C69" s="36"/>
      <c r="D69" s="58" t="s">
        <v>81</v>
      </c>
      <c r="E69" s="58"/>
      <c r="F69" s="58"/>
      <c r="G69" s="58"/>
      <c r="H69" s="58"/>
      <c r="L69" s="59">
        <v>1</v>
      </c>
      <c r="M69" s="59">
        <v>4</v>
      </c>
      <c r="N69" s="59"/>
      <c r="O69" s="59"/>
      <c r="P69" s="64">
        <v>0</v>
      </c>
      <c r="Q69" s="38" t="s">
        <v>20</v>
      </c>
      <c r="R69" s="35" t="b">
        <v>0</v>
      </c>
    </row>
    <row r="70" spans="2:18" x14ac:dyDescent="0.2">
      <c r="B70" s="52"/>
      <c r="D70" t="s">
        <v>82</v>
      </c>
      <c r="L70" s="32">
        <v>1</v>
      </c>
      <c r="M70" s="32">
        <v>2</v>
      </c>
      <c r="N70" s="32"/>
      <c r="O70" s="32"/>
      <c r="P70" s="33">
        <v>0</v>
      </c>
      <c r="Q70" s="38" t="s">
        <v>20</v>
      </c>
      <c r="R70" s="35" t="b">
        <v>0</v>
      </c>
    </row>
    <row r="71" spans="2:18" x14ac:dyDescent="0.2">
      <c r="B71" s="60" t="s">
        <v>83</v>
      </c>
      <c r="C71" s="23"/>
      <c r="D71" s="23"/>
      <c r="E71" s="23"/>
      <c r="F71" s="23"/>
      <c r="G71" s="23"/>
      <c r="H71" s="23"/>
      <c r="I71" s="23"/>
      <c r="J71" s="23"/>
      <c r="K71" s="23"/>
      <c r="L71" s="26" t="s">
        <v>84</v>
      </c>
      <c r="M71" s="26"/>
      <c r="N71" s="26"/>
      <c r="O71" s="26"/>
      <c r="P71" s="48">
        <f>P61+P57+P44+P39+P33+P27+P11+P3+P68</f>
        <v>0</v>
      </c>
      <c r="Q71" s="22"/>
      <c r="R71" s="55"/>
    </row>
    <row r="72" spans="2:18" x14ac:dyDescent="0.2">
      <c r="B72" s="52"/>
      <c r="C72" s="103" t="s">
        <v>85</v>
      </c>
      <c r="D72" s="103"/>
      <c r="E72" s="61"/>
      <c r="F72" s="61"/>
      <c r="G72" s="61"/>
      <c r="H72" s="61"/>
      <c r="I72" s="62"/>
      <c r="J72" s="62"/>
      <c r="K72" s="62"/>
      <c r="L72" s="52"/>
      <c r="M72" s="52"/>
      <c r="N72" s="52"/>
      <c r="O72" s="52"/>
      <c r="R72" s="63"/>
    </row>
    <row r="73" spans="2:18" x14ac:dyDescent="0.2">
      <c r="B73" s="52"/>
      <c r="C73" s="103"/>
      <c r="D73" s="103"/>
      <c r="E73" s="61"/>
      <c r="F73" s="61"/>
      <c r="G73" s="61"/>
      <c r="H73" s="61"/>
      <c r="L73" s="52"/>
      <c r="M73" s="52"/>
      <c r="N73" s="52"/>
      <c r="O73" s="52"/>
      <c r="R73" s="63"/>
    </row>
  </sheetData>
  <mergeCells count="8">
    <mergeCell ref="D8:F8"/>
    <mergeCell ref="C72:D73"/>
    <mergeCell ref="B1:C1"/>
    <mergeCell ref="H2:I2"/>
    <mergeCell ref="D4:F4"/>
    <mergeCell ref="D5:F5"/>
    <mergeCell ref="D6:F6"/>
    <mergeCell ref="D7:F7"/>
  </mergeCells>
  <conditionalFormatting sqref="F1">
    <cfRule type="expression" dxfId="3" priority="2">
      <formula>#REF!&gt;15</formula>
    </cfRule>
  </conditionalFormatting>
  <conditionalFormatting sqref="H1">
    <cfRule type="expression" dxfId="2" priority="1">
      <formula>#REF!&gt;$O$3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FAA0-7DAF-4006-B583-0A4C7789A314}">
  <dimension ref="B1:R73"/>
  <sheetViews>
    <sheetView workbookViewId="0">
      <selection activeCell="I8" sqref="I8"/>
    </sheetView>
  </sheetViews>
  <sheetFormatPr defaultRowHeight="12.75" x14ac:dyDescent="0.2"/>
  <sheetData>
    <row r="1" spans="2:18" ht="39" thickBot="1" x14ac:dyDescent="0.25">
      <c r="B1" s="104" t="s">
        <v>110</v>
      </c>
      <c r="C1" s="105"/>
      <c r="D1" s="1" t="s">
        <v>92</v>
      </c>
      <c r="E1" s="2" t="s">
        <v>0</v>
      </c>
      <c r="F1" s="3"/>
      <c r="G1" s="4" t="s">
        <v>1</v>
      </c>
      <c r="H1" s="5">
        <f>SUM(O4:O70)</f>
        <v>0</v>
      </c>
      <c r="I1" s="4" t="s">
        <v>2</v>
      </c>
      <c r="J1" s="6">
        <f>SUM(P71-H1)</f>
        <v>527</v>
      </c>
      <c r="K1" s="7" t="s">
        <v>3</v>
      </c>
      <c r="L1" s="8">
        <f>(COUNTA(O4:O32)/COUNTA(D4:D32))*100%</f>
        <v>0</v>
      </c>
      <c r="M1" s="7" t="s">
        <v>4</v>
      </c>
      <c r="N1" s="9">
        <f>(COUNTA(N45:N70)/COUNTA(D45:D70))*100%</f>
        <v>0</v>
      </c>
      <c r="O1" s="10" t="s">
        <v>5</v>
      </c>
      <c r="P1" s="11">
        <f>(COUNTA(N45:N70)/COUNTA(D34:D43))*100%</f>
        <v>0</v>
      </c>
      <c r="Q1" s="12" t="s">
        <v>6</v>
      </c>
      <c r="R1" s="13"/>
    </row>
    <row r="2" spans="2:18" ht="63.75" x14ac:dyDescent="0.2">
      <c r="B2" s="15" t="s">
        <v>7</v>
      </c>
      <c r="C2" s="15"/>
      <c r="D2" s="15"/>
      <c r="E2" s="15"/>
      <c r="F2" s="15"/>
      <c r="G2" s="16" t="s">
        <v>8</v>
      </c>
      <c r="H2" s="106"/>
      <c r="I2" s="107"/>
      <c r="J2" s="17"/>
      <c r="K2" s="17"/>
      <c r="L2" s="18" t="s">
        <v>9</v>
      </c>
      <c r="M2" s="19" t="s">
        <v>10</v>
      </c>
      <c r="N2" s="18" t="s">
        <v>11</v>
      </c>
      <c r="O2" s="19" t="s">
        <v>12</v>
      </c>
      <c r="P2" s="18" t="s">
        <v>13</v>
      </c>
      <c r="Q2" s="20" t="s">
        <v>14</v>
      </c>
      <c r="R2" s="20" t="s">
        <v>15</v>
      </c>
    </row>
    <row r="3" spans="2:18" x14ac:dyDescent="0.2">
      <c r="B3" s="21">
        <v>1</v>
      </c>
      <c r="C3" s="22" t="s">
        <v>16</v>
      </c>
      <c r="D3" s="23"/>
      <c r="E3" s="23"/>
      <c r="F3" s="23"/>
      <c r="G3" s="23"/>
      <c r="H3" s="23"/>
      <c r="I3" s="23"/>
      <c r="J3" s="23"/>
      <c r="K3" s="23"/>
      <c r="L3" s="24"/>
      <c r="M3" s="25"/>
      <c r="N3" s="25"/>
      <c r="O3" s="26"/>
      <c r="P3" s="27">
        <f>SUM(P4:P10)</f>
        <v>0</v>
      </c>
      <c r="Q3" s="28"/>
      <c r="R3" s="29"/>
    </row>
    <row r="4" spans="2:18" x14ac:dyDescent="0.2">
      <c r="B4" s="30"/>
      <c r="C4" s="31"/>
      <c r="D4" s="102" t="s">
        <v>17</v>
      </c>
      <c r="E4" s="102"/>
      <c r="F4" s="102"/>
      <c r="L4" s="32"/>
      <c r="M4" s="32"/>
      <c r="N4" s="32"/>
      <c r="O4" s="32"/>
      <c r="P4" s="33">
        <f>N4*M4*L4</f>
        <v>0</v>
      </c>
      <c r="Q4" s="34" t="s">
        <v>18</v>
      </c>
      <c r="R4" s="35" t="b">
        <v>0</v>
      </c>
    </row>
    <row r="5" spans="2:18" x14ac:dyDescent="0.2">
      <c r="B5" s="30"/>
      <c r="C5" s="36"/>
      <c r="D5" s="102" t="s">
        <v>19</v>
      </c>
      <c r="E5" s="102"/>
      <c r="F5" s="102"/>
      <c r="L5" s="32">
        <v>1</v>
      </c>
      <c r="M5" s="32">
        <v>1</v>
      </c>
      <c r="N5" s="37"/>
      <c r="O5" s="33"/>
      <c r="P5" s="33">
        <f t="shared" ref="P5:P10" si="0">N5*M5*L5</f>
        <v>0</v>
      </c>
      <c r="Q5" s="38" t="s">
        <v>106</v>
      </c>
      <c r="R5" s="35" t="b">
        <v>0</v>
      </c>
    </row>
    <row r="6" spans="2:18" x14ac:dyDescent="0.2">
      <c r="B6" s="30"/>
      <c r="C6" s="36"/>
      <c r="D6" s="102" t="s">
        <v>21</v>
      </c>
      <c r="E6" s="102"/>
      <c r="F6" s="102"/>
      <c r="L6" s="32">
        <v>1</v>
      </c>
      <c r="M6" s="32">
        <v>2</v>
      </c>
      <c r="N6" s="37"/>
      <c r="O6" s="33"/>
      <c r="P6" s="33">
        <f t="shared" si="0"/>
        <v>0</v>
      </c>
      <c r="Q6" s="38" t="s">
        <v>106</v>
      </c>
      <c r="R6" s="35" t="b">
        <v>0</v>
      </c>
    </row>
    <row r="7" spans="2:18" x14ac:dyDescent="0.2">
      <c r="B7" s="30"/>
      <c r="C7" s="36"/>
      <c r="D7" s="102" t="s">
        <v>22</v>
      </c>
      <c r="E7" s="102"/>
      <c r="F7" s="102"/>
      <c r="L7" s="32">
        <v>1</v>
      </c>
      <c r="M7" s="32">
        <v>2</v>
      </c>
      <c r="N7" s="37"/>
      <c r="O7" s="33"/>
      <c r="P7" s="33">
        <f t="shared" si="0"/>
        <v>0</v>
      </c>
      <c r="Q7" s="38" t="s">
        <v>106</v>
      </c>
      <c r="R7" s="35" t="b">
        <v>0</v>
      </c>
    </row>
    <row r="8" spans="2:18" x14ac:dyDescent="0.2">
      <c r="B8" s="30"/>
      <c r="C8" s="31"/>
      <c r="D8" s="102" t="s">
        <v>23</v>
      </c>
      <c r="E8" s="102"/>
      <c r="F8" s="102"/>
      <c r="L8" s="32"/>
      <c r="M8" s="32"/>
      <c r="N8" s="37"/>
      <c r="O8" s="32"/>
      <c r="P8" s="33">
        <f t="shared" si="0"/>
        <v>0</v>
      </c>
      <c r="Q8" s="34" t="s">
        <v>24</v>
      </c>
      <c r="R8" s="35" t="b">
        <v>0</v>
      </c>
    </row>
    <row r="9" spans="2:18" x14ac:dyDescent="0.2">
      <c r="B9" s="30"/>
      <c r="C9" s="36"/>
      <c r="D9" t="s">
        <v>25</v>
      </c>
      <c r="L9" s="32"/>
      <c r="M9" s="32"/>
      <c r="N9" s="37"/>
      <c r="O9" s="32"/>
      <c r="P9" s="33">
        <f t="shared" si="0"/>
        <v>0</v>
      </c>
      <c r="Q9" s="38" t="s">
        <v>20</v>
      </c>
      <c r="R9" s="35" t="b">
        <v>0</v>
      </c>
    </row>
    <row r="10" spans="2:18" x14ac:dyDescent="0.2">
      <c r="B10" s="30"/>
      <c r="C10" s="36"/>
      <c r="D10" t="s">
        <v>26</v>
      </c>
      <c r="L10" s="32">
        <v>1</v>
      </c>
      <c r="M10" s="32">
        <v>6</v>
      </c>
      <c r="N10" s="37"/>
      <c r="O10" s="32"/>
      <c r="P10" s="33">
        <f t="shared" si="0"/>
        <v>0</v>
      </c>
      <c r="Q10" s="38" t="s">
        <v>20</v>
      </c>
      <c r="R10" s="35" t="b">
        <v>0</v>
      </c>
    </row>
    <row r="11" spans="2:18" x14ac:dyDescent="0.2">
      <c r="B11" s="21">
        <v>2</v>
      </c>
      <c r="C11" s="22" t="s">
        <v>27</v>
      </c>
      <c r="D11" s="23"/>
      <c r="E11" s="23"/>
      <c r="F11" s="23"/>
      <c r="G11" s="23"/>
      <c r="H11" s="23"/>
      <c r="I11" s="23"/>
      <c r="J11" s="23"/>
      <c r="K11" s="23"/>
      <c r="L11" s="39"/>
      <c r="M11" s="26"/>
      <c r="N11" s="26"/>
      <c r="O11" s="26"/>
      <c r="P11" s="40">
        <f>SUM(P12:P26)</f>
        <v>0</v>
      </c>
      <c r="Q11" s="41"/>
      <c r="R11" s="35" t="b">
        <v>0</v>
      </c>
    </row>
    <row r="12" spans="2:18" x14ac:dyDescent="0.2">
      <c r="B12" s="30"/>
      <c r="C12" s="43"/>
      <c r="D12" t="s">
        <v>28</v>
      </c>
      <c r="L12" s="32">
        <v>1</v>
      </c>
      <c r="M12" s="32">
        <v>1</v>
      </c>
      <c r="N12" s="32"/>
      <c r="O12" s="33"/>
      <c r="P12" s="33">
        <v>0</v>
      </c>
      <c r="Q12" s="38" t="s">
        <v>106</v>
      </c>
      <c r="R12" s="35" t="b">
        <v>0</v>
      </c>
    </row>
    <row r="13" spans="2:18" x14ac:dyDescent="0.2">
      <c r="B13" s="30"/>
      <c r="C13" s="36"/>
      <c r="D13" t="s">
        <v>29</v>
      </c>
      <c r="L13" s="32">
        <v>2</v>
      </c>
      <c r="M13" s="32">
        <v>47</v>
      </c>
      <c r="N13" s="37"/>
      <c r="O13" s="33"/>
      <c r="P13" s="33">
        <v>0</v>
      </c>
      <c r="Q13" s="38" t="s">
        <v>106</v>
      </c>
      <c r="R13" s="35" t="b">
        <v>0</v>
      </c>
    </row>
    <row r="14" spans="2:18" x14ac:dyDescent="0.2">
      <c r="B14" s="30"/>
      <c r="C14" s="36"/>
      <c r="D14" t="s">
        <v>30</v>
      </c>
      <c r="L14" s="32"/>
      <c r="M14" s="32"/>
      <c r="N14" s="32"/>
      <c r="O14" s="33"/>
      <c r="P14" s="33">
        <v>0</v>
      </c>
      <c r="Q14" s="38" t="s">
        <v>106</v>
      </c>
      <c r="R14" s="35" t="b">
        <v>0</v>
      </c>
    </row>
    <row r="15" spans="2:18" x14ac:dyDescent="0.2">
      <c r="B15" s="30"/>
      <c r="C15" s="36"/>
      <c r="D15" s="44" t="s">
        <v>31</v>
      </c>
      <c r="E15" s="44"/>
      <c r="G15">
        <v>1</v>
      </c>
      <c r="H15" t="s">
        <v>32</v>
      </c>
      <c r="L15" s="32">
        <v>2</v>
      </c>
      <c r="M15" s="32">
        <v>6</v>
      </c>
      <c r="N15" s="32"/>
      <c r="O15" s="33"/>
      <c r="P15" s="33">
        <v>0</v>
      </c>
      <c r="Q15" s="38" t="s">
        <v>20</v>
      </c>
      <c r="R15" s="35" t="b">
        <v>0</v>
      </c>
    </row>
    <row r="16" spans="2:18" x14ac:dyDescent="0.2">
      <c r="B16" s="30"/>
      <c r="C16" s="36"/>
      <c r="D16" s="44" t="s">
        <v>33</v>
      </c>
      <c r="E16" s="44"/>
      <c r="G16">
        <v>2</v>
      </c>
      <c r="H16" t="s">
        <v>32</v>
      </c>
      <c r="L16" s="32">
        <v>2</v>
      </c>
      <c r="M16" s="32">
        <v>2</v>
      </c>
      <c r="N16" s="32"/>
      <c r="O16" s="33"/>
      <c r="P16" s="33">
        <v>0</v>
      </c>
      <c r="Q16" s="38" t="s">
        <v>20</v>
      </c>
      <c r="R16" s="35" t="b">
        <v>0</v>
      </c>
    </row>
    <row r="17" spans="2:18" x14ac:dyDescent="0.2">
      <c r="B17" s="30"/>
      <c r="C17" s="36"/>
      <c r="D17" s="44" t="s">
        <v>34</v>
      </c>
      <c r="E17" s="44"/>
      <c r="G17">
        <v>1</v>
      </c>
      <c r="H17" t="s">
        <v>32</v>
      </c>
      <c r="L17" s="32">
        <v>2</v>
      </c>
      <c r="M17" s="32">
        <v>8</v>
      </c>
      <c r="N17" s="32"/>
      <c r="O17" s="33"/>
      <c r="P17" s="33">
        <v>0</v>
      </c>
      <c r="Q17" s="38" t="s">
        <v>20</v>
      </c>
      <c r="R17" s="35" t="b">
        <v>0</v>
      </c>
    </row>
    <row r="18" spans="2:18" x14ac:dyDescent="0.2">
      <c r="B18" s="30"/>
      <c r="C18" s="36"/>
      <c r="D18" s="45" t="s">
        <v>35</v>
      </c>
      <c r="E18" s="45"/>
      <c r="G18">
        <v>12</v>
      </c>
      <c r="H18" t="s">
        <v>32</v>
      </c>
      <c r="L18" s="32">
        <v>2</v>
      </c>
      <c r="M18" s="32">
        <v>5</v>
      </c>
      <c r="N18" s="32"/>
      <c r="O18" s="33"/>
      <c r="P18" s="33">
        <v>0</v>
      </c>
      <c r="Q18" s="38" t="s">
        <v>20</v>
      </c>
      <c r="R18" s="35" t="b">
        <v>0</v>
      </c>
    </row>
    <row r="19" spans="2:18" x14ac:dyDescent="0.2">
      <c r="B19" s="30"/>
      <c r="C19" s="36"/>
      <c r="D19" s="45" t="s">
        <v>36</v>
      </c>
      <c r="E19" s="45"/>
      <c r="G19" s="46">
        <v>2</v>
      </c>
      <c r="H19" s="46" t="s">
        <v>32</v>
      </c>
      <c r="L19" s="32">
        <v>2</v>
      </c>
      <c r="M19" s="32">
        <v>12</v>
      </c>
      <c r="N19" s="37"/>
      <c r="O19" s="47"/>
      <c r="P19" s="33">
        <v>0</v>
      </c>
      <c r="Q19" s="38" t="s">
        <v>20</v>
      </c>
      <c r="R19" s="35" t="b">
        <v>0</v>
      </c>
    </row>
    <row r="20" spans="2:18" x14ac:dyDescent="0.2">
      <c r="B20" s="30"/>
      <c r="C20" s="36"/>
      <c r="D20" s="45" t="s">
        <v>37</v>
      </c>
      <c r="E20" s="45"/>
      <c r="G20" s="46">
        <v>1</v>
      </c>
      <c r="H20" s="46" t="s">
        <v>32</v>
      </c>
      <c r="L20" s="32">
        <v>1</v>
      </c>
      <c r="M20" s="32">
        <v>2</v>
      </c>
      <c r="N20" s="37"/>
      <c r="O20" s="47"/>
      <c r="P20" s="33">
        <v>0</v>
      </c>
      <c r="Q20" s="38" t="s">
        <v>106</v>
      </c>
      <c r="R20" s="35" t="b">
        <v>0</v>
      </c>
    </row>
    <row r="21" spans="2:18" x14ac:dyDescent="0.2">
      <c r="B21" s="30"/>
      <c r="C21" s="36"/>
      <c r="D21" s="45" t="s">
        <v>38</v>
      </c>
      <c r="E21" s="45"/>
      <c r="G21" s="46">
        <v>1</v>
      </c>
      <c r="H21" s="46" t="s">
        <v>32</v>
      </c>
      <c r="L21" s="32">
        <v>1</v>
      </c>
      <c r="M21" s="32">
        <v>2</v>
      </c>
      <c r="N21" s="37"/>
      <c r="O21" s="47"/>
      <c r="P21" s="33">
        <v>0</v>
      </c>
      <c r="Q21" s="38" t="s">
        <v>20</v>
      </c>
      <c r="R21" s="35" t="b">
        <v>0</v>
      </c>
    </row>
    <row r="22" spans="2:18" x14ac:dyDescent="0.2">
      <c r="B22" s="30"/>
      <c r="C22" s="36"/>
      <c r="D22" s="45" t="s">
        <v>39</v>
      </c>
      <c r="E22" s="45"/>
      <c r="G22" s="46">
        <v>1</v>
      </c>
      <c r="H22" s="46" t="s">
        <v>32</v>
      </c>
      <c r="L22" s="32">
        <v>2</v>
      </c>
      <c r="M22" s="32">
        <v>2</v>
      </c>
      <c r="N22" s="32"/>
      <c r="O22" s="33"/>
      <c r="P22" s="33">
        <v>0</v>
      </c>
      <c r="Q22" s="38" t="s">
        <v>106</v>
      </c>
      <c r="R22" s="35" t="b">
        <v>0</v>
      </c>
    </row>
    <row r="23" spans="2:18" x14ac:dyDescent="0.2">
      <c r="B23" s="30"/>
      <c r="C23" s="36"/>
      <c r="D23" s="45" t="s">
        <v>40</v>
      </c>
      <c r="E23" s="45"/>
      <c r="G23" s="46">
        <v>1</v>
      </c>
      <c r="H23" s="46" t="s">
        <v>32</v>
      </c>
      <c r="L23" s="32">
        <v>2</v>
      </c>
      <c r="M23" s="32">
        <v>2</v>
      </c>
      <c r="N23" s="32"/>
      <c r="O23" s="47"/>
      <c r="P23" s="33">
        <v>0</v>
      </c>
      <c r="Q23" s="38" t="s">
        <v>106</v>
      </c>
      <c r="R23" s="35" t="b">
        <v>0</v>
      </c>
    </row>
    <row r="24" spans="2:18" x14ac:dyDescent="0.2">
      <c r="B24" s="30"/>
      <c r="C24" s="36"/>
      <c r="D24" s="44" t="s">
        <v>41</v>
      </c>
      <c r="E24" s="44"/>
      <c r="G24" s="46">
        <v>12</v>
      </c>
      <c r="H24" s="46" t="s">
        <v>32</v>
      </c>
      <c r="L24" s="32">
        <v>2</v>
      </c>
      <c r="M24" s="32">
        <v>2</v>
      </c>
      <c r="N24" s="37"/>
      <c r="O24" s="33"/>
      <c r="P24" s="33">
        <v>0</v>
      </c>
      <c r="Q24" s="38" t="s">
        <v>106</v>
      </c>
      <c r="R24" s="35" t="b">
        <v>0</v>
      </c>
    </row>
    <row r="25" spans="2:18" x14ac:dyDescent="0.2">
      <c r="B25" s="30"/>
      <c r="C25" s="36"/>
      <c r="D25" t="s">
        <v>42</v>
      </c>
      <c r="L25" s="32">
        <v>2</v>
      </c>
      <c r="M25" s="32">
        <v>10</v>
      </c>
      <c r="N25" s="37"/>
      <c r="O25" s="33"/>
      <c r="P25" s="33">
        <v>0</v>
      </c>
      <c r="Q25" s="38" t="s">
        <v>20</v>
      </c>
      <c r="R25" s="35" t="b">
        <v>0</v>
      </c>
    </row>
    <row r="26" spans="2:18" x14ac:dyDescent="0.2">
      <c r="B26" s="30"/>
      <c r="C26" s="36"/>
      <c r="D26" t="s">
        <v>43</v>
      </c>
      <c r="L26" s="32">
        <v>1</v>
      </c>
      <c r="M26" s="32">
        <v>4</v>
      </c>
      <c r="N26" s="32"/>
      <c r="O26" s="32"/>
      <c r="P26" s="33">
        <v>0</v>
      </c>
      <c r="Q26" s="38"/>
      <c r="R26" s="35" t="b">
        <v>0</v>
      </c>
    </row>
    <row r="27" spans="2:18" x14ac:dyDescent="0.2">
      <c r="B27" s="21">
        <v>3</v>
      </c>
      <c r="C27" s="22" t="s">
        <v>44</v>
      </c>
      <c r="D27" s="23"/>
      <c r="E27" s="23"/>
      <c r="F27" s="23"/>
      <c r="G27" s="23"/>
      <c r="H27" s="23"/>
      <c r="I27" s="23"/>
      <c r="J27" s="23"/>
      <c r="K27" s="23"/>
      <c r="L27" s="39"/>
      <c r="M27" s="26"/>
      <c r="N27" s="26"/>
      <c r="O27" s="26"/>
      <c r="P27" s="48">
        <f>SUM(P28:P32)</f>
        <v>0</v>
      </c>
      <c r="Q27" s="41"/>
      <c r="R27" s="35" t="b">
        <v>0</v>
      </c>
    </row>
    <row r="28" spans="2:18" x14ac:dyDescent="0.2">
      <c r="B28" s="30"/>
      <c r="C28" s="36"/>
      <c r="D28" t="s">
        <v>45</v>
      </c>
      <c r="L28" s="32">
        <v>1</v>
      </c>
      <c r="M28" s="32">
        <v>5</v>
      </c>
      <c r="N28" s="32"/>
      <c r="O28" s="33"/>
      <c r="P28" s="33">
        <f t="shared" ref="P28:P31" si="1">N28*M28*L28</f>
        <v>0</v>
      </c>
      <c r="Q28" s="38" t="s">
        <v>20</v>
      </c>
      <c r="R28" s="35" t="b">
        <v>0</v>
      </c>
    </row>
    <row r="29" spans="2:18" x14ac:dyDescent="0.2">
      <c r="B29" s="30"/>
      <c r="C29" s="36"/>
      <c r="D29" s="46" t="s">
        <v>46</v>
      </c>
      <c r="L29" s="32">
        <v>2</v>
      </c>
      <c r="M29" s="32">
        <v>5</v>
      </c>
      <c r="N29" s="32"/>
      <c r="O29" s="33"/>
      <c r="P29" s="33">
        <f t="shared" si="1"/>
        <v>0</v>
      </c>
      <c r="Q29" s="38" t="s">
        <v>20</v>
      </c>
      <c r="R29" s="35" t="b">
        <v>0</v>
      </c>
    </row>
    <row r="30" spans="2:18" x14ac:dyDescent="0.2">
      <c r="B30" s="30"/>
      <c r="C30" s="36"/>
      <c r="D30" t="s">
        <v>47</v>
      </c>
      <c r="L30" s="32">
        <v>1</v>
      </c>
      <c r="M30" s="32">
        <v>4</v>
      </c>
      <c r="N30" s="32"/>
      <c r="O30" s="33"/>
      <c r="P30" s="33">
        <f t="shared" si="1"/>
        <v>0</v>
      </c>
      <c r="Q30" s="38" t="s">
        <v>20</v>
      </c>
      <c r="R30" s="35" t="b">
        <v>0</v>
      </c>
    </row>
    <row r="31" spans="2:18" x14ac:dyDescent="0.2">
      <c r="B31" s="30"/>
      <c r="C31" s="36"/>
      <c r="D31" t="s">
        <v>48</v>
      </c>
      <c r="L31" s="32">
        <v>1</v>
      </c>
      <c r="M31" s="32">
        <v>8</v>
      </c>
      <c r="N31" s="32"/>
      <c r="O31" s="33"/>
      <c r="P31" s="33">
        <f t="shared" si="1"/>
        <v>0</v>
      </c>
      <c r="Q31" s="38" t="s">
        <v>20</v>
      </c>
      <c r="R31" s="35" t="b">
        <v>0</v>
      </c>
    </row>
    <row r="32" spans="2:18" x14ac:dyDescent="0.2">
      <c r="B32" s="30"/>
      <c r="C32" s="36"/>
      <c r="D32" t="s">
        <v>49</v>
      </c>
      <c r="L32" s="32"/>
      <c r="M32" s="32"/>
      <c r="N32" s="32"/>
      <c r="O32" s="32"/>
      <c r="P32" s="33">
        <f>N32*M32*L32</f>
        <v>0</v>
      </c>
      <c r="Q32" s="34" t="s">
        <v>18</v>
      </c>
      <c r="R32" s="35" t="b">
        <v>0</v>
      </c>
    </row>
    <row r="33" spans="2:18" x14ac:dyDescent="0.2">
      <c r="B33" s="21">
        <v>4</v>
      </c>
      <c r="C33" s="22" t="s">
        <v>50</v>
      </c>
      <c r="D33" s="23"/>
      <c r="E33" s="23"/>
      <c r="F33" s="23"/>
      <c r="G33" s="23"/>
      <c r="H33" s="23"/>
      <c r="I33" s="23"/>
      <c r="J33" s="23"/>
      <c r="K33" s="23"/>
      <c r="L33" s="39"/>
      <c r="M33" s="26"/>
      <c r="N33" s="26"/>
      <c r="O33" s="22"/>
      <c r="P33" s="22">
        <f>SUM(P34:P38)</f>
        <v>0</v>
      </c>
      <c r="Q33" s="41"/>
      <c r="R33" s="35" t="b">
        <v>0</v>
      </c>
    </row>
    <row r="34" spans="2:18" x14ac:dyDescent="0.2">
      <c r="B34" s="30"/>
      <c r="C34" s="36"/>
      <c r="D34" t="s">
        <v>51</v>
      </c>
      <c r="L34" s="32"/>
      <c r="M34" s="32"/>
      <c r="N34" s="32"/>
      <c r="O34" s="32"/>
      <c r="P34" s="33">
        <f>N34*M34*L34</f>
        <v>0</v>
      </c>
      <c r="Q34" s="34" t="s">
        <v>52</v>
      </c>
      <c r="R34" s="35" t="b">
        <v>0</v>
      </c>
    </row>
    <row r="35" spans="2:18" x14ac:dyDescent="0.2">
      <c r="B35" s="30"/>
      <c r="C35" s="36"/>
      <c r="D35" t="s">
        <v>53</v>
      </c>
      <c r="L35" s="32"/>
      <c r="M35" s="32"/>
      <c r="N35" s="32"/>
      <c r="O35" s="32"/>
      <c r="P35" s="33">
        <f>N35*M35*L35</f>
        <v>0</v>
      </c>
      <c r="Q35" s="34" t="s">
        <v>52</v>
      </c>
      <c r="R35" s="35" t="b">
        <v>0</v>
      </c>
    </row>
    <row r="36" spans="2:18" x14ac:dyDescent="0.2">
      <c r="B36" s="30"/>
      <c r="C36" s="36"/>
      <c r="D36" t="s">
        <v>54</v>
      </c>
      <c r="L36" s="32"/>
      <c r="M36" s="32"/>
      <c r="N36" s="32"/>
      <c r="O36" s="32"/>
      <c r="P36" s="33">
        <f>N36*M36*L36</f>
        <v>0</v>
      </c>
      <c r="Q36" s="34" t="s">
        <v>55</v>
      </c>
      <c r="R36" s="35" t="b">
        <v>0</v>
      </c>
    </row>
    <row r="37" spans="2:18" x14ac:dyDescent="0.2">
      <c r="B37" s="30"/>
      <c r="C37" s="36"/>
      <c r="D37" t="s">
        <v>56</v>
      </c>
      <c r="L37" s="32"/>
      <c r="M37" s="32"/>
      <c r="N37" s="32"/>
      <c r="O37" s="32"/>
      <c r="P37" s="33">
        <f>N37*M37*L37</f>
        <v>0</v>
      </c>
      <c r="Q37" s="34" t="s">
        <v>24</v>
      </c>
      <c r="R37" s="35" t="b">
        <v>0</v>
      </c>
    </row>
    <row r="38" spans="2:18" x14ac:dyDescent="0.2">
      <c r="B38" s="30"/>
      <c r="C38" s="36"/>
      <c r="D38" t="s">
        <v>57</v>
      </c>
      <c r="L38" s="32"/>
      <c r="M38" s="32"/>
      <c r="N38" s="32"/>
      <c r="O38" s="32"/>
      <c r="P38" s="33">
        <f>N38*M38*L38</f>
        <v>0</v>
      </c>
      <c r="Q38" s="34" t="s">
        <v>58</v>
      </c>
      <c r="R38" s="35" t="b">
        <v>0</v>
      </c>
    </row>
    <row r="39" spans="2:18" x14ac:dyDescent="0.2">
      <c r="B39" s="21">
        <v>5</v>
      </c>
      <c r="C39" s="22" t="s">
        <v>59</v>
      </c>
      <c r="D39" s="23"/>
      <c r="E39" s="23"/>
      <c r="F39" s="23"/>
      <c r="G39" s="23"/>
      <c r="H39" s="23"/>
      <c r="I39" s="23"/>
      <c r="J39" s="23"/>
      <c r="K39" s="23"/>
      <c r="L39" s="39"/>
      <c r="M39" s="26"/>
      <c r="N39" s="26"/>
      <c r="O39" s="22"/>
      <c r="P39" s="22">
        <f>SUM(P40:P43)</f>
        <v>0</v>
      </c>
      <c r="Q39" s="41"/>
      <c r="R39" s="35" t="b">
        <v>0</v>
      </c>
    </row>
    <row r="40" spans="2:18" x14ac:dyDescent="0.2">
      <c r="B40" s="30"/>
      <c r="C40" s="36"/>
      <c r="D40" t="s">
        <v>60</v>
      </c>
      <c r="L40" s="32"/>
      <c r="M40" s="32"/>
      <c r="N40" s="32"/>
      <c r="O40" s="32"/>
      <c r="P40" s="33">
        <f>N40*M40*L40</f>
        <v>0</v>
      </c>
      <c r="Q40" s="50" t="s">
        <v>18</v>
      </c>
      <c r="R40" s="35" t="b">
        <v>0</v>
      </c>
    </row>
    <row r="41" spans="2:18" x14ac:dyDescent="0.2">
      <c r="B41" s="30"/>
      <c r="C41" s="36"/>
      <c r="D41" t="s">
        <v>61</v>
      </c>
      <c r="L41" s="32"/>
      <c r="M41" s="32"/>
      <c r="N41" s="32"/>
      <c r="O41" s="32"/>
      <c r="P41" s="33">
        <f>N41*M41*L41</f>
        <v>0</v>
      </c>
      <c r="Q41" s="50" t="s">
        <v>18</v>
      </c>
      <c r="R41" s="35" t="b">
        <v>0</v>
      </c>
    </row>
    <row r="42" spans="2:18" x14ac:dyDescent="0.2">
      <c r="B42" s="30"/>
      <c r="C42" s="36"/>
      <c r="D42" t="s">
        <v>62</v>
      </c>
      <c r="L42" s="32"/>
      <c r="M42" s="32"/>
      <c r="N42" s="32"/>
      <c r="O42" s="32"/>
      <c r="P42" s="33">
        <f>N42*M42*L42</f>
        <v>0</v>
      </c>
      <c r="Q42" s="50" t="s">
        <v>18</v>
      </c>
      <c r="R42" s="35" t="b">
        <v>0</v>
      </c>
    </row>
    <row r="43" spans="2:18" x14ac:dyDescent="0.2">
      <c r="B43" s="30"/>
      <c r="C43" s="36"/>
      <c r="D43" t="s">
        <v>63</v>
      </c>
      <c r="L43" s="32">
        <v>0</v>
      </c>
      <c r="M43" s="32"/>
      <c r="N43" s="32"/>
      <c r="O43" s="32"/>
      <c r="P43" s="33">
        <f>N43*M43*L43</f>
        <v>0</v>
      </c>
      <c r="Q43" s="50" t="s">
        <v>18</v>
      </c>
      <c r="R43" s="35" t="b">
        <v>0</v>
      </c>
    </row>
    <row r="44" spans="2:18" x14ac:dyDescent="0.2">
      <c r="B44" s="21">
        <v>6</v>
      </c>
      <c r="C44" s="22" t="s">
        <v>64</v>
      </c>
      <c r="D44" s="23"/>
      <c r="E44" s="23"/>
      <c r="F44" s="23"/>
      <c r="G44" s="23"/>
      <c r="H44" s="23"/>
      <c r="I44" s="23"/>
      <c r="J44" s="23"/>
      <c r="K44" s="23"/>
      <c r="L44" s="39"/>
      <c r="M44" s="26"/>
      <c r="N44" s="26"/>
      <c r="O44" s="26"/>
      <c r="P44" s="48">
        <f>SUM(P45:P56)</f>
        <v>0</v>
      </c>
      <c r="Q44" s="22"/>
      <c r="R44" s="35" t="b">
        <v>0</v>
      </c>
    </row>
    <row r="45" spans="2:18" x14ac:dyDescent="0.2">
      <c r="B45" s="30"/>
      <c r="C45" s="36"/>
      <c r="D45" t="s">
        <v>65</v>
      </c>
      <c r="L45" s="32">
        <v>1</v>
      </c>
      <c r="M45" s="32">
        <v>5</v>
      </c>
      <c r="N45" s="32"/>
      <c r="O45" s="32"/>
      <c r="P45" s="33">
        <f t="shared" ref="P45:P56" si="2">N45*M45*L45</f>
        <v>0</v>
      </c>
      <c r="Q45" s="38" t="s">
        <v>20</v>
      </c>
      <c r="R45" s="35" t="b">
        <v>0</v>
      </c>
    </row>
    <row r="46" spans="2:18" x14ac:dyDescent="0.2">
      <c r="B46" s="30"/>
      <c r="C46" s="36"/>
      <c r="D46" t="s">
        <v>66</v>
      </c>
      <c r="L46" s="32">
        <v>2</v>
      </c>
      <c r="M46" s="32">
        <v>8</v>
      </c>
      <c r="N46" s="32"/>
      <c r="O46" s="32"/>
      <c r="P46" s="33">
        <f t="shared" si="2"/>
        <v>0</v>
      </c>
      <c r="Q46" s="38" t="s">
        <v>20</v>
      </c>
      <c r="R46" s="35" t="b">
        <v>0</v>
      </c>
    </row>
    <row r="47" spans="2:18" x14ac:dyDescent="0.2">
      <c r="B47" s="30"/>
      <c r="C47" s="36"/>
      <c r="D47" t="s">
        <v>67</v>
      </c>
      <c r="L47" s="32">
        <v>2</v>
      </c>
      <c r="M47" s="32">
        <v>30</v>
      </c>
      <c r="N47" s="32"/>
      <c r="O47" s="32"/>
      <c r="P47" s="33">
        <f t="shared" si="2"/>
        <v>0</v>
      </c>
      <c r="Q47" s="38" t="s">
        <v>20</v>
      </c>
      <c r="R47" s="35" t="b">
        <v>0</v>
      </c>
    </row>
    <row r="48" spans="2:18" x14ac:dyDescent="0.2">
      <c r="B48" s="30"/>
      <c r="C48" s="36"/>
      <c r="D48" t="s">
        <v>68</v>
      </c>
      <c r="L48" s="32"/>
      <c r="M48" s="32"/>
      <c r="N48" s="32"/>
      <c r="O48" s="32"/>
      <c r="P48" s="33">
        <f>N48*M48*L48</f>
        <v>0</v>
      </c>
      <c r="Q48" s="38" t="s">
        <v>20</v>
      </c>
      <c r="R48" s="35" t="b">
        <v>0</v>
      </c>
    </row>
    <row r="49" spans="2:18" x14ac:dyDescent="0.2">
      <c r="B49" s="30"/>
      <c r="C49" s="36"/>
      <c r="D49" s="44" t="s">
        <v>31</v>
      </c>
      <c r="E49" s="44"/>
      <c r="G49">
        <v>1</v>
      </c>
      <c r="H49" t="s">
        <v>32</v>
      </c>
      <c r="L49" s="32">
        <v>2</v>
      </c>
      <c r="M49" s="32">
        <v>6</v>
      </c>
      <c r="N49" s="32"/>
      <c r="O49" s="32"/>
      <c r="P49" s="33">
        <f t="shared" si="2"/>
        <v>0</v>
      </c>
      <c r="Q49" s="38" t="s">
        <v>20</v>
      </c>
      <c r="R49" s="35" t="b">
        <v>0</v>
      </c>
    </row>
    <row r="50" spans="2:18" x14ac:dyDescent="0.2">
      <c r="B50" s="30"/>
      <c r="C50" s="36"/>
      <c r="D50" s="44" t="s">
        <v>33</v>
      </c>
      <c r="E50" s="44"/>
      <c r="G50">
        <v>2</v>
      </c>
      <c r="H50" t="s">
        <v>32</v>
      </c>
      <c r="L50" s="32">
        <v>2</v>
      </c>
      <c r="M50" s="32">
        <v>3</v>
      </c>
      <c r="N50" s="32"/>
      <c r="O50" s="32"/>
      <c r="P50" s="33">
        <f t="shared" si="2"/>
        <v>0</v>
      </c>
      <c r="Q50" s="38" t="s">
        <v>20</v>
      </c>
      <c r="R50" s="35" t="b">
        <v>0</v>
      </c>
    </row>
    <row r="51" spans="2:18" x14ac:dyDescent="0.2">
      <c r="B51" s="30"/>
      <c r="C51" s="36"/>
      <c r="D51" s="45" t="s">
        <v>35</v>
      </c>
      <c r="E51" s="45"/>
      <c r="G51">
        <v>12</v>
      </c>
      <c r="H51" t="s">
        <v>32</v>
      </c>
      <c r="L51" s="32">
        <v>2</v>
      </c>
      <c r="M51" s="32">
        <v>6</v>
      </c>
      <c r="N51" s="32"/>
      <c r="O51" s="32"/>
      <c r="P51" s="33">
        <f t="shared" si="2"/>
        <v>0</v>
      </c>
      <c r="Q51" s="38" t="s">
        <v>20</v>
      </c>
      <c r="R51" s="35" t="b">
        <v>0</v>
      </c>
    </row>
    <row r="52" spans="2:18" x14ac:dyDescent="0.2">
      <c r="B52" s="30"/>
      <c r="C52" s="36"/>
      <c r="D52" s="45" t="s">
        <v>36</v>
      </c>
      <c r="E52" s="45"/>
      <c r="G52" s="46">
        <v>2</v>
      </c>
      <c r="H52" s="46" t="s">
        <v>32</v>
      </c>
      <c r="L52" s="32">
        <v>2</v>
      </c>
      <c r="M52" s="32">
        <v>12</v>
      </c>
      <c r="N52" s="32"/>
      <c r="O52" s="32"/>
      <c r="P52" s="33">
        <f t="shared" si="2"/>
        <v>0</v>
      </c>
      <c r="Q52" s="38" t="s">
        <v>20</v>
      </c>
      <c r="R52" s="35" t="b">
        <v>0</v>
      </c>
    </row>
    <row r="53" spans="2:18" x14ac:dyDescent="0.2">
      <c r="B53" s="30"/>
      <c r="C53" s="36"/>
      <c r="D53" s="45" t="s">
        <v>37</v>
      </c>
      <c r="E53" s="45"/>
      <c r="G53" s="46">
        <v>2</v>
      </c>
      <c r="H53" s="46" t="s">
        <v>32</v>
      </c>
      <c r="L53" s="32">
        <v>2</v>
      </c>
      <c r="M53" s="32">
        <v>5</v>
      </c>
      <c r="N53" s="32"/>
      <c r="O53" s="32"/>
      <c r="P53" s="33">
        <f t="shared" si="2"/>
        <v>0</v>
      </c>
      <c r="Q53" s="38" t="s">
        <v>20</v>
      </c>
      <c r="R53" s="35" t="b">
        <v>0</v>
      </c>
    </row>
    <row r="54" spans="2:18" x14ac:dyDescent="0.2">
      <c r="B54" s="30"/>
      <c r="C54" s="36"/>
      <c r="D54" s="45" t="s">
        <v>38</v>
      </c>
      <c r="E54" s="45"/>
      <c r="G54" s="46">
        <v>1</v>
      </c>
      <c r="H54" s="46" t="s">
        <v>32</v>
      </c>
      <c r="L54" s="32">
        <v>2</v>
      </c>
      <c r="M54" s="32">
        <v>5</v>
      </c>
      <c r="N54" s="32"/>
      <c r="O54" s="32"/>
      <c r="P54" s="33">
        <f t="shared" si="2"/>
        <v>0</v>
      </c>
      <c r="Q54" s="38" t="s">
        <v>20</v>
      </c>
      <c r="R54" s="35" t="b">
        <v>0</v>
      </c>
    </row>
    <row r="55" spans="2:18" x14ac:dyDescent="0.2">
      <c r="B55" s="30"/>
      <c r="C55" s="36"/>
      <c r="D55" s="45" t="s">
        <v>39</v>
      </c>
      <c r="E55" s="45"/>
      <c r="G55" s="46">
        <v>1</v>
      </c>
      <c r="H55" s="46" t="s">
        <v>32</v>
      </c>
      <c r="L55" s="32">
        <v>2</v>
      </c>
      <c r="M55" s="32">
        <v>5</v>
      </c>
      <c r="N55" s="32"/>
      <c r="O55" s="32"/>
      <c r="P55" s="33">
        <f t="shared" si="2"/>
        <v>0</v>
      </c>
      <c r="Q55" s="38" t="s">
        <v>20</v>
      </c>
      <c r="R55" s="35" t="b">
        <v>0</v>
      </c>
    </row>
    <row r="56" spans="2:18" x14ac:dyDescent="0.2">
      <c r="B56" s="30"/>
      <c r="C56" s="36"/>
      <c r="D56" s="44" t="s">
        <v>69</v>
      </c>
      <c r="E56" s="44"/>
      <c r="G56" s="46">
        <v>12</v>
      </c>
      <c r="H56" s="46" t="s">
        <v>32</v>
      </c>
      <c r="L56" s="32">
        <v>2</v>
      </c>
      <c r="M56" s="32">
        <v>5</v>
      </c>
      <c r="N56" s="32"/>
      <c r="O56" s="32"/>
      <c r="P56" s="33">
        <f t="shared" si="2"/>
        <v>0</v>
      </c>
      <c r="Q56" s="38" t="s">
        <v>20</v>
      </c>
      <c r="R56" s="35" t="b">
        <v>0</v>
      </c>
    </row>
    <row r="57" spans="2:18" x14ac:dyDescent="0.2">
      <c r="B57" s="21">
        <v>7</v>
      </c>
      <c r="C57" s="22" t="s">
        <v>70</v>
      </c>
      <c r="D57" s="23"/>
      <c r="E57" s="23"/>
      <c r="F57" s="23"/>
      <c r="G57" s="23"/>
      <c r="H57" s="23"/>
      <c r="I57" s="23"/>
      <c r="J57" s="23"/>
      <c r="K57" s="23"/>
      <c r="L57" s="39"/>
      <c r="M57" s="26"/>
      <c r="N57" s="26"/>
      <c r="O57" s="26"/>
      <c r="P57" s="48">
        <f>SUM(P58:P60)</f>
        <v>0</v>
      </c>
      <c r="Q57" s="22"/>
      <c r="R57" s="35" t="b">
        <v>0</v>
      </c>
    </row>
    <row r="58" spans="2:18" x14ac:dyDescent="0.2">
      <c r="B58" s="30"/>
      <c r="C58" s="36"/>
      <c r="D58" t="s">
        <v>71</v>
      </c>
      <c r="L58" s="32">
        <v>2</v>
      </c>
      <c r="M58" s="32">
        <v>11</v>
      </c>
      <c r="N58" s="32"/>
      <c r="O58" s="32"/>
      <c r="P58" s="33">
        <v>0</v>
      </c>
      <c r="Q58" s="38" t="s">
        <v>20</v>
      </c>
      <c r="R58" s="35" t="b">
        <v>0</v>
      </c>
    </row>
    <row r="59" spans="2:18" x14ac:dyDescent="0.2">
      <c r="B59" s="30"/>
      <c r="C59" s="36"/>
      <c r="D59" t="s">
        <v>72</v>
      </c>
      <c r="L59" s="32">
        <v>2</v>
      </c>
      <c r="M59" s="32">
        <v>11</v>
      </c>
      <c r="N59" s="32"/>
      <c r="O59" s="32"/>
      <c r="P59" s="33">
        <v>0</v>
      </c>
      <c r="Q59" s="38" t="s">
        <v>20</v>
      </c>
      <c r="R59" s="35" t="b">
        <v>0</v>
      </c>
    </row>
    <row r="60" spans="2:18" x14ac:dyDescent="0.2">
      <c r="B60" s="30"/>
      <c r="C60" s="36"/>
      <c r="D60" t="s">
        <v>73</v>
      </c>
      <c r="L60" s="32">
        <v>2</v>
      </c>
      <c r="M60" s="32">
        <v>11</v>
      </c>
      <c r="N60" s="32"/>
      <c r="O60" s="32"/>
      <c r="P60" s="33">
        <v>0</v>
      </c>
      <c r="Q60" s="38" t="s">
        <v>20</v>
      </c>
      <c r="R60" s="35" t="b">
        <v>0</v>
      </c>
    </row>
    <row r="61" spans="2:18" x14ac:dyDescent="0.2">
      <c r="B61" s="21">
        <v>8</v>
      </c>
      <c r="C61" s="22" t="s">
        <v>74</v>
      </c>
      <c r="D61" s="23"/>
      <c r="E61" s="23"/>
      <c r="F61" s="23"/>
      <c r="G61" s="23"/>
      <c r="H61" s="23"/>
      <c r="I61" s="23"/>
      <c r="J61" s="23"/>
      <c r="K61" s="23"/>
      <c r="L61" s="39"/>
      <c r="M61" s="26"/>
      <c r="N61" s="26"/>
      <c r="O61" s="26"/>
      <c r="P61" s="48">
        <f>SUM(P62:P67)</f>
        <v>0</v>
      </c>
      <c r="Q61" s="22"/>
      <c r="R61" s="35" t="b">
        <v>0</v>
      </c>
    </row>
    <row r="62" spans="2:18" x14ac:dyDescent="0.2">
      <c r="B62" s="52"/>
      <c r="D62" t="s">
        <v>75</v>
      </c>
      <c r="L62" s="32">
        <v>1</v>
      </c>
      <c r="M62" s="32">
        <v>2</v>
      </c>
      <c r="N62" s="32"/>
      <c r="O62" s="32"/>
      <c r="P62" s="33">
        <v>0</v>
      </c>
      <c r="Q62" s="38" t="s">
        <v>20</v>
      </c>
      <c r="R62" s="35" t="b">
        <v>0</v>
      </c>
    </row>
    <row r="63" spans="2:18" x14ac:dyDescent="0.2">
      <c r="B63" s="52"/>
      <c r="D63" t="s">
        <v>76</v>
      </c>
      <c r="L63" s="32">
        <v>1</v>
      </c>
      <c r="M63" s="32">
        <v>2</v>
      </c>
      <c r="N63" s="32"/>
      <c r="O63" s="32"/>
      <c r="P63" s="33">
        <v>0</v>
      </c>
      <c r="Q63" s="38" t="s">
        <v>20</v>
      </c>
      <c r="R63" s="35" t="b">
        <v>0</v>
      </c>
    </row>
    <row r="64" spans="2:18" x14ac:dyDescent="0.2">
      <c r="B64" s="52"/>
      <c r="D64" t="s">
        <v>74</v>
      </c>
      <c r="L64" s="32">
        <v>1</v>
      </c>
      <c r="M64" s="32">
        <v>2</v>
      </c>
      <c r="N64" s="32"/>
      <c r="O64" s="32"/>
      <c r="P64" s="33">
        <v>0</v>
      </c>
      <c r="Q64" s="38" t="s">
        <v>20</v>
      </c>
      <c r="R64" s="35" t="b">
        <v>0</v>
      </c>
    </row>
    <row r="65" spans="2:18" x14ac:dyDescent="0.2">
      <c r="B65" s="52"/>
      <c r="D65" t="s">
        <v>77</v>
      </c>
      <c r="L65" s="32">
        <v>1</v>
      </c>
      <c r="M65" s="32"/>
      <c r="N65" s="32"/>
      <c r="O65" s="32"/>
      <c r="P65" s="33">
        <v>0</v>
      </c>
      <c r="Q65" s="38" t="s">
        <v>20</v>
      </c>
      <c r="R65" s="35" t="b">
        <v>0</v>
      </c>
    </row>
    <row r="66" spans="2:18" x14ac:dyDescent="0.2">
      <c r="B66" s="52"/>
      <c r="D66" t="s">
        <v>78</v>
      </c>
      <c r="L66" s="32">
        <v>1</v>
      </c>
      <c r="M66" s="32">
        <v>2</v>
      </c>
      <c r="N66" s="32"/>
      <c r="O66" s="32"/>
      <c r="P66" s="33">
        <v>0</v>
      </c>
      <c r="Q66" s="38" t="s">
        <v>20</v>
      </c>
      <c r="R66" s="35" t="b">
        <v>0</v>
      </c>
    </row>
    <row r="67" spans="2:18" x14ac:dyDescent="0.2">
      <c r="B67" s="52"/>
      <c r="D67" t="s">
        <v>79</v>
      </c>
      <c r="L67" s="32">
        <v>1</v>
      </c>
      <c r="M67" s="32"/>
      <c r="N67" s="32"/>
      <c r="O67" s="32"/>
      <c r="P67" s="33">
        <v>0</v>
      </c>
      <c r="Q67" s="38" t="s">
        <v>20</v>
      </c>
      <c r="R67" s="35" t="b">
        <v>0</v>
      </c>
    </row>
    <row r="68" spans="2:18" x14ac:dyDescent="0.2">
      <c r="B68" s="53">
        <v>9</v>
      </c>
      <c r="C68" s="54" t="s">
        <v>80</v>
      </c>
      <c r="D68" s="55"/>
      <c r="E68" s="55"/>
      <c r="F68" s="55"/>
      <c r="G68" s="55"/>
      <c r="H68" s="55"/>
      <c r="I68" s="55"/>
      <c r="J68" s="55"/>
      <c r="K68" s="55"/>
      <c r="L68" s="56"/>
      <c r="M68" s="55"/>
      <c r="N68" s="55"/>
      <c r="O68" s="26"/>
      <c r="P68" s="48">
        <f>SUM(P69)</f>
        <v>0</v>
      </c>
      <c r="Q68" s="55"/>
      <c r="R68" s="35" t="b">
        <v>0</v>
      </c>
    </row>
    <row r="69" spans="2:18" ht="204" x14ac:dyDescent="0.2">
      <c r="B69" s="30"/>
      <c r="C69" s="36"/>
      <c r="D69" s="58" t="s">
        <v>81</v>
      </c>
      <c r="E69" s="58"/>
      <c r="F69" s="58"/>
      <c r="G69" s="58"/>
      <c r="H69" s="58"/>
      <c r="L69" s="59">
        <v>1</v>
      </c>
      <c r="M69" s="59">
        <v>4</v>
      </c>
      <c r="N69" s="59"/>
      <c r="O69" s="59"/>
      <c r="P69" s="59">
        <v>0</v>
      </c>
      <c r="Q69" s="101" t="s">
        <v>20</v>
      </c>
      <c r="R69" s="35" t="b">
        <v>0</v>
      </c>
    </row>
    <row r="70" spans="2:18" x14ac:dyDescent="0.2">
      <c r="B70" s="52"/>
      <c r="D70" t="s">
        <v>82</v>
      </c>
      <c r="L70" s="32">
        <v>1</v>
      </c>
      <c r="M70" s="32">
        <v>2</v>
      </c>
      <c r="N70" s="32"/>
      <c r="O70" s="32"/>
      <c r="P70" s="33">
        <v>0</v>
      </c>
      <c r="Q70" s="38" t="s">
        <v>20</v>
      </c>
      <c r="R70" s="35" t="b">
        <v>0</v>
      </c>
    </row>
    <row r="71" spans="2:18" x14ac:dyDescent="0.2">
      <c r="B71" s="60" t="s">
        <v>83</v>
      </c>
      <c r="C71" s="23"/>
      <c r="D71" s="23"/>
      <c r="E71" s="23"/>
      <c r="F71" s="23"/>
      <c r="G71" s="23"/>
      <c r="H71" s="23"/>
      <c r="I71" s="23"/>
      <c r="J71" s="23"/>
      <c r="K71" s="23"/>
      <c r="L71" s="26" t="s">
        <v>84</v>
      </c>
      <c r="M71" s="26"/>
      <c r="N71" s="26"/>
      <c r="O71" s="26"/>
      <c r="P71" s="48">
        <v>527</v>
      </c>
      <c r="Q71" s="22"/>
      <c r="R71" s="55"/>
    </row>
    <row r="72" spans="2:18" x14ac:dyDescent="0.2">
      <c r="B72" s="52"/>
      <c r="C72" s="103" t="s">
        <v>85</v>
      </c>
      <c r="D72" s="103"/>
      <c r="E72" s="61"/>
      <c r="F72" s="61"/>
      <c r="G72" s="61"/>
      <c r="H72" s="61"/>
      <c r="I72" s="62"/>
      <c r="J72" s="62"/>
      <c r="K72" s="62"/>
      <c r="L72" s="52"/>
      <c r="M72" s="52"/>
      <c r="N72" s="52"/>
      <c r="O72" s="52"/>
      <c r="R72" s="63"/>
    </row>
    <row r="73" spans="2:18" x14ac:dyDescent="0.2">
      <c r="B73" s="52"/>
      <c r="C73" s="103"/>
      <c r="D73" s="103"/>
      <c r="E73" s="61"/>
      <c r="F73" s="61"/>
      <c r="G73" s="61"/>
      <c r="H73" s="61"/>
      <c r="L73" s="52"/>
      <c r="M73" s="52"/>
      <c r="N73" s="52"/>
      <c r="O73" s="52"/>
      <c r="R73" s="63"/>
    </row>
  </sheetData>
  <mergeCells count="8">
    <mergeCell ref="D8:F8"/>
    <mergeCell ref="C72:D73"/>
    <mergeCell ref="B1:C1"/>
    <mergeCell ref="H2:I2"/>
    <mergeCell ref="D4:F4"/>
    <mergeCell ref="D5:F5"/>
    <mergeCell ref="D6:F6"/>
    <mergeCell ref="D7:F7"/>
  </mergeCells>
  <conditionalFormatting sqref="F1">
    <cfRule type="expression" dxfId="1" priority="2">
      <formula>#REF!&gt;15</formula>
    </cfRule>
  </conditionalFormatting>
  <conditionalFormatting sqref="H1">
    <cfRule type="expression" dxfId="0" priority="1">
      <formula>#REF!&gt;$O$3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Engine 3306</vt:lpstr>
      <vt:lpstr>Engine 3406</vt:lpstr>
      <vt:lpstr>Engine 3412</vt:lpstr>
      <vt:lpstr>Egnine C9</vt:lpstr>
      <vt:lpstr>Engine C13</vt:lpstr>
      <vt:lpstr>Engine C27</vt:lpstr>
      <vt:lpstr>Engine 3412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 Arianto</dc:creator>
  <cp:lastModifiedBy>Muhammad Ismail</cp:lastModifiedBy>
  <dcterms:created xsi:type="dcterms:W3CDTF">2025-07-08T07:14:40Z</dcterms:created>
  <dcterms:modified xsi:type="dcterms:W3CDTF">2026-08-09T08:59:29Z</dcterms:modified>
</cp:coreProperties>
</file>