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FC85B9A-DB4A-492F-83F0-8C41EAA3F5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ransmission 24H,M" sheetId="7" r:id="rId1"/>
    <sheet name="Transmission 16M" sheetId="8" r:id="rId2"/>
    <sheet name="Transmission 740" sheetId="10" r:id="rId3"/>
    <sheet name="Transmission 777" sheetId="6" r:id="rId4"/>
    <sheet name="Transmission 16H,G" sheetId="5" r:id="rId5"/>
    <sheet name="Transmission 785 789" sheetId="1" r:id="rId6"/>
    <sheet name="Transmission D10T,R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45" i="10"/>
  <c r="C45" i="10"/>
  <c r="E37" i="10"/>
  <c r="C37" i="10"/>
  <c r="E21" i="10"/>
  <c r="C21" i="10"/>
  <c r="E42" i="8"/>
  <c r="C42" i="8"/>
  <c r="E34" i="8"/>
  <c r="C34" i="8"/>
  <c r="E19" i="8"/>
  <c r="C19" i="8"/>
  <c r="E16" i="5"/>
  <c r="E22" i="7"/>
  <c r="E38" i="7"/>
  <c r="E46" i="7"/>
  <c r="E48" i="7" s="1"/>
  <c r="E43" i="6"/>
  <c r="C43" i="6"/>
  <c r="E35" i="6"/>
  <c r="C35" i="6"/>
  <c r="E19" i="6"/>
  <c r="C19" i="6"/>
  <c r="C45" i="6" s="1"/>
  <c r="E31" i="1"/>
  <c r="E40" i="1"/>
  <c r="E32" i="5"/>
  <c r="E24" i="5"/>
  <c r="E43" i="4"/>
  <c r="E35" i="4"/>
  <c r="E19" i="4"/>
  <c r="C46" i="7"/>
  <c r="C38" i="7"/>
  <c r="C22" i="7"/>
  <c r="C32" i="5"/>
  <c r="C24" i="5"/>
  <c r="C16" i="5"/>
  <c r="C40" i="1"/>
  <c r="C43" i="4"/>
  <c r="C31" i="1"/>
  <c r="C35" i="4"/>
  <c r="C19" i="4"/>
  <c r="C19" i="1"/>
  <c r="C47" i="10" l="1"/>
  <c r="E47" i="10"/>
  <c r="E45" i="6"/>
  <c r="E34" i="5"/>
  <c r="E42" i="1"/>
  <c r="C42" i="1"/>
  <c r="C34" i="5"/>
  <c r="E45" i="4"/>
  <c r="C45" i="4"/>
  <c r="C48" i="7"/>
  <c r="E44" i="8"/>
  <c r="C44" i="8"/>
</calcChain>
</file>

<file path=xl/sharedStrings.xml><?xml version="1.0" encoding="utf-8"?>
<sst xmlns="http://schemas.openxmlformats.org/spreadsheetml/2006/main" count="359" uniqueCount="83">
  <si>
    <t>CHECK SHEET LABOR TRANSMISSION 785/789</t>
  </si>
  <si>
    <t>UNIT :</t>
  </si>
  <si>
    <t xml:space="preserve">WO   : </t>
  </si>
  <si>
    <t>NO</t>
  </si>
  <si>
    <t>STP TRANSMISSION : 135</t>
  </si>
  <si>
    <t>DISMANTLE : 55</t>
  </si>
  <si>
    <t>JOB</t>
  </si>
  <si>
    <t>STP</t>
  </si>
  <si>
    <t>LABOR/TECHNICIAN/DATE</t>
  </si>
  <si>
    <t>Washing Transmission gp</t>
  </si>
  <si>
    <t>CV 2EA</t>
  </si>
  <si>
    <t>Clutch 6</t>
  </si>
  <si>
    <t>Clutch 5</t>
  </si>
  <si>
    <t>Clutch 4</t>
  </si>
  <si>
    <t>Clutch 3</t>
  </si>
  <si>
    <t>Clutch 2</t>
  </si>
  <si>
    <t>Clutch 1</t>
  </si>
  <si>
    <t>Trans Gear &amp; Housing</t>
  </si>
  <si>
    <t>Part list &amp; Tear Down</t>
  </si>
  <si>
    <t>Total</t>
  </si>
  <si>
    <t>ASSAMBLE : 60</t>
  </si>
  <si>
    <t>TEST BENCH &amp; COMPLETED : 25</t>
  </si>
  <si>
    <t>Release</t>
  </si>
  <si>
    <t>Set up</t>
  </si>
  <si>
    <t>Completed &amp; Painting</t>
  </si>
  <si>
    <t>Test</t>
  </si>
  <si>
    <t>Trans Gear</t>
  </si>
  <si>
    <t>CV, Harness, &amp; Sensor</t>
  </si>
  <si>
    <t>Planetary &amp; Shaft</t>
  </si>
  <si>
    <t>DISMANTLE : 39</t>
  </si>
  <si>
    <t>ASSAMBLE : 40</t>
  </si>
  <si>
    <t>CV, Harness &amp; Sensor</t>
  </si>
  <si>
    <t>TEST BENCH &amp; COMPLETED : 17</t>
  </si>
  <si>
    <t>Washing Transmission</t>
  </si>
  <si>
    <t>CHECK SHEET LABOR TRANSMISSION D10T/R</t>
  </si>
  <si>
    <t>CHECK SHEET LABOR TRANSMISSION 16H/G</t>
  </si>
  <si>
    <t>STP TRANSMISSION : 89</t>
  </si>
  <si>
    <t>Pump, Lines, &amp; Screen</t>
  </si>
  <si>
    <t>Planetary GP</t>
  </si>
  <si>
    <t>Directional &amp; Idler gear</t>
  </si>
  <si>
    <t>Clean up Housing 2ea</t>
  </si>
  <si>
    <t>ASSAMBLE : 30</t>
  </si>
  <si>
    <t>CHECK SHEET LABOR TRANSMISSION 777</t>
  </si>
  <si>
    <t>CHECK SHEET LABOR TRANSMISSION 24H/M</t>
  </si>
  <si>
    <t>STP TRANSMISSION : 126</t>
  </si>
  <si>
    <t>TEST BENCH &amp; COMPLETED : 20</t>
  </si>
  <si>
    <t>Control Valve</t>
  </si>
  <si>
    <t>Control Valve 2EA</t>
  </si>
  <si>
    <t>Input Trans Gear</t>
  </si>
  <si>
    <t>Output Trans Gear</t>
  </si>
  <si>
    <t>Clutch 6 &amp; Housing</t>
  </si>
  <si>
    <t>DISMANTLE : 49</t>
  </si>
  <si>
    <t>Planetary &amp; Shaft In-Out</t>
  </si>
  <si>
    <t>Disconnect Planetary</t>
  </si>
  <si>
    <t>Connect Planetary Gp</t>
  </si>
  <si>
    <t>Total Labor</t>
  </si>
  <si>
    <t>ACTUAL LABOR</t>
  </si>
  <si>
    <t>CHECK SHEET LABOR TRANSMISSION 16M</t>
  </si>
  <si>
    <t>STP TRANSMISSION :</t>
  </si>
  <si>
    <t>DISMANTLE :</t>
  </si>
  <si>
    <t>Parking Brake</t>
  </si>
  <si>
    <t>Disconnect Housing</t>
  </si>
  <si>
    <t>Clutch 1 &amp; 2</t>
  </si>
  <si>
    <t>Clutch 3 &amp; 4</t>
  </si>
  <si>
    <t>Clutch 5 &amp; 6</t>
  </si>
  <si>
    <t>Clutch 7 &amp; 8</t>
  </si>
  <si>
    <t>CHECK SHEET LABOR TRANSMISSION 740</t>
  </si>
  <si>
    <t>Disconnect TC</t>
  </si>
  <si>
    <t>Control Valve 2ea</t>
  </si>
  <si>
    <t>Transmission Pump</t>
  </si>
  <si>
    <t>Torque Converter</t>
  </si>
  <si>
    <t>Connect TC</t>
  </si>
  <si>
    <t>TEST BENCH &amp; COMPLETED :</t>
  </si>
  <si>
    <t>STP TRANSMISSION : 98</t>
  </si>
  <si>
    <t>DISMANTLE : 41</t>
  </si>
  <si>
    <t>ASSAMBLE : 37</t>
  </si>
  <si>
    <t>DISMANTLE : 57</t>
  </si>
  <si>
    <t>ASSAMBLE : 53</t>
  </si>
  <si>
    <t>REASON IF OVER STP</t>
  </si>
  <si>
    <t>Trans Gear, Housing 2ea , &amp; Rotor sensor</t>
  </si>
  <si>
    <t>Washing Transmission gp, Screen, &amp; cover.</t>
  </si>
  <si>
    <t>Control Valve,Harness,Sensor</t>
  </si>
  <si>
    <t>Assamble Housing, Install Clutch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</si>
</sst>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/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2" xfId="0" applyFill="1" applyBorder="1"/>
    <xf numFmtId="0" fontId="0" fillId="3" borderId="0" xfId="0" applyFill="1"/>
    <xf numFmtId="0" fontId="1" fillId="3" borderId="0" xfId="0" applyFont="1" applyFill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8"/>
  <sheetViews>
    <sheetView tabSelected="1" workbookViewId="0">
      <selection activeCell="D6" sqref="D6"/>
    </sheetView>
  </sheetViews>
  <sheetFormatPr defaultRowHeight="15" x14ac:dyDescent="0.25"/>
  <cols>
    <col min="1" max="1" width="4.85546875" customWidth="1"/>
    <col min="2" max="2" width="23.5703125" bestFit="1" customWidth="1"/>
    <col min="3" max="3" width="4.28515625" customWidth="1"/>
    <col min="4" max="4" width="39.140625" customWidth="1"/>
    <col min="5" max="5" width="14.5703125" customWidth="1"/>
    <col min="6" max="6" width="44.85546875" customWidth="1"/>
  </cols>
  <sheetData>
    <row r="1" spans="1:6" ht="28.5" x14ac:dyDescent="0.45">
      <c r="A1" s="4" t="s">
        <v>43</v>
      </c>
      <c r="B1" s="5"/>
      <c r="C1" s="5"/>
      <c r="D1" s="5"/>
      <c r="E1" s="5"/>
    </row>
    <row r="3" spans="1:6" ht="20.100000000000001" customHeight="1" x14ac:dyDescent="0.25">
      <c r="A3" t="s">
        <v>1</v>
      </c>
    </row>
    <row r="4" spans="1:6" ht="20.100000000000001" customHeight="1" x14ac:dyDescent="0.25">
      <c r="A4" t="s">
        <v>2</v>
      </c>
    </row>
    <row r="5" spans="1:6" ht="20.100000000000001" customHeight="1" x14ac:dyDescent="0.25"/>
    <row r="6" spans="1:6" ht="20.100000000000001" customHeight="1" x14ac:dyDescent="0.25">
      <c r="A6" t="s">
        <v>44</v>
      </c>
    </row>
    <row r="7" spans="1:6" ht="20.100000000000001" customHeight="1" x14ac:dyDescent="0.25">
      <c r="A7" t="s">
        <v>51</v>
      </c>
    </row>
    <row r="8" spans="1:6" ht="20.100000000000001" customHeight="1" x14ac:dyDescent="0.25">
      <c r="A8" s="6" t="s">
        <v>3</v>
      </c>
      <c r="B8" s="6" t="s">
        <v>6</v>
      </c>
      <c r="C8" s="6" t="s">
        <v>7</v>
      </c>
      <c r="D8" s="6" t="s">
        <v>8</v>
      </c>
      <c r="E8" s="6" t="s">
        <v>56</v>
      </c>
      <c r="F8" s="9" t="s">
        <v>78</v>
      </c>
    </row>
    <row r="9" spans="1:6" ht="20.100000000000001" customHeight="1" x14ac:dyDescent="0.25">
      <c r="A9" s="2">
        <v>1</v>
      </c>
      <c r="B9" s="1" t="s">
        <v>9</v>
      </c>
      <c r="C9" s="2">
        <v>5</v>
      </c>
      <c r="D9" s="1"/>
      <c r="E9" s="2"/>
      <c r="F9" s="1"/>
    </row>
    <row r="10" spans="1:6" ht="20.100000000000001" customHeight="1" x14ac:dyDescent="0.25">
      <c r="A10" s="2">
        <v>2</v>
      </c>
      <c r="B10" s="1" t="s">
        <v>46</v>
      </c>
      <c r="C10" s="2">
        <v>5</v>
      </c>
      <c r="D10" s="1"/>
      <c r="E10" s="2"/>
      <c r="F10" s="1"/>
    </row>
    <row r="11" spans="1:6" ht="20.100000000000001" customHeight="1" x14ac:dyDescent="0.25">
      <c r="A11" s="2">
        <v>3</v>
      </c>
      <c r="B11" s="1" t="s">
        <v>48</v>
      </c>
      <c r="C11" s="2">
        <v>3</v>
      </c>
      <c r="D11" s="1"/>
      <c r="E11" s="2"/>
      <c r="F11" s="1"/>
    </row>
    <row r="12" spans="1:6" ht="20.100000000000001" customHeight="1" x14ac:dyDescent="0.25">
      <c r="A12" s="2">
        <v>4</v>
      </c>
      <c r="B12" s="1" t="s">
        <v>53</v>
      </c>
      <c r="C12" s="2">
        <v>3</v>
      </c>
      <c r="D12" s="1"/>
      <c r="E12" s="2"/>
      <c r="F12" s="1"/>
    </row>
    <row r="13" spans="1:6" ht="20.100000000000001" customHeight="1" x14ac:dyDescent="0.25">
      <c r="A13" s="2">
        <v>5</v>
      </c>
      <c r="B13" s="1" t="s">
        <v>50</v>
      </c>
      <c r="C13" s="2">
        <v>4</v>
      </c>
      <c r="D13" s="1"/>
      <c r="E13" s="2"/>
      <c r="F13" s="1"/>
    </row>
    <row r="14" spans="1:6" ht="20.100000000000001" customHeight="1" x14ac:dyDescent="0.25">
      <c r="A14" s="2">
        <v>6</v>
      </c>
      <c r="B14" s="1" t="s">
        <v>12</v>
      </c>
      <c r="C14" s="2">
        <v>3</v>
      </c>
      <c r="D14" s="1"/>
      <c r="E14" s="2"/>
      <c r="F14" s="1"/>
    </row>
    <row r="15" spans="1:6" ht="20.100000000000001" customHeight="1" x14ac:dyDescent="0.25">
      <c r="A15" s="2">
        <v>7</v>
      </c>
      <c r="B15" s="1" t="s">
        <v>13</v>
      </c>
      <c r="C15" s="2">
        <v>3</v>
      </c>
      <c r="D15" s="1"/>
      <c r="E15" s="2"/>
      <c r="F15" s="1"/>
    </row>
    <row r="16" spans="1:6" ht="20.100000000000001" customHeight="1" x14ac:dyDescent="0.25">
      <c r="A16" s="2">
        <v>8</v>
      </c>
      <c r="B16" s="1" t="s">
        <v>14</v>
      </c>
      <c r="C16" s="2">
        <v>3</v>
      </c>
      <c r="D16" s="1"/>
      <c r="E16" s="2"/>
      <c r="F16" s="1"/>
    </row>
    <row r="17" spans="1:6" ht="20.100000000000001" customHeight="1" x14ac:dyDescent="0.25">
      <c r="A17" s="2">
        <v>9</v>
      </c>
      <c r="B17" s="1" t="s">
        <v>15</v>
      </c>
      <c r="C17" s="2">
        <v>3</v>
      </c>
      <c r="D17" s="1"/>
      <c r="E17" s="2"/>
      <c r="F17" s="1"/>
    </row>
    <row r="18" spans="1:6" ht="20.100000000000001" customHeight="1" x14ac:dyDescent="0.25">
      <c r="A18" s="2">
        <v>10</v>
      </c>
      <c r="B18" s="1" t="s">
        <v>16</v>
      </c>
      <c r="C18" s="2">
        <v>3</v>
      </c>
      <c r="D18" s="1"/>
      <c r="E18" s="2"/>
      <c r="F18" s="1"/>
    </row>
    <row r="19" spans="1:6" ht="20.100000000000001" customHeight="1" x14ac:dyDescent="0.25">
      <c r="A19" s="2">
        <v>11</v>
      </c>
      <c r="B19" s="1" t="s">
        <v>52</v>
      </c>
      <c r="C19" s="2">
        <v>5</v>
      </c>
      <c r="D19" s="1"/>
      <c r="E19" s="2"/>
      <c r="F19" s="1"/>
    </row>
    <row r="20" spans="1:6" ht="20.100000000000001" customHeight="1" x14ac:dyDescent="0.25">
      <c r="A20" s="2">
        <v>12</v>
      </c>
      <c r="B20" s="1" t="s">
        <v>49</v>
      </c>
      <c r="C20" s="2">
        <v>8</v>
      </c>
      <c r="D20" s="1"/>
      <c r="E20" s="2"/>
      <c r="F20" s="1"/>
    </row>
    <row r="21" spans="1:6" ht="20.100000000000001" customHeight="1" x14ac:dyDescent="0.25">
      <c r="A21" s="2">
        <v>13</v>
      </c>
      <c r="B21" s="1" t="s">
        <v>18</v>
      </c>
      <c r="C21" s="2">
        <v>4</v>
      </c>
      <c r="D21" s="1"/>
      <c r="E21" s="2"/>
      <c r="F21" s="1"/>
    </row>
    <row r="22" spans="1:6" ht="20.100000000000001" customHeight="1" x14ac:dyDescent="0.25">
      <c r="B22" t="s">
        <v>19</v>
      </c>
      <c r="C22" s="3">
        <f>SUM(C9:C21)</f>
        <v>52</v>
      </c>
      <c r="E22" s="3">
        <f>SUM(E9:E21)</f>
        <v>0</v>
      </c>
    </row>
    <row r="23" spans="1:6" ht="20.100000000000001" customHeight="1" x14ac:dyDescent="0.25"/>
    <row r="24" spans="1:6" ht="20.100000000000001" customHeight="1" x14ac:dyDescent="0.25"/>
    <row r="25" spans="1:6" ht="20.100000000000001" customHeight="1" x14ac:dyDescent="0.25">
      <c r="A25" t="s">
        <v>20</v>
      </c>
    </row>
    <row r="26" spans="1:6" ht="20.100000000000001" customHeight="1" x14ac:dyDescent="0.25">
      <c r="A26" s="6" t="s">
        <v>3</v>
      </c>
      <c r="B26" s="6" t="s">
        <v>6</v>
      </c>
      <c r="C26" s="6" t="s">
        <v>7</v>
      </c>
      <c r="D26" s="6" t="s">
        <v>8</v>
      </c>
      <c r="E26" s="6" t="s">
        <v>56</v>
      </c>
      <c r="F26" s="9" t="s">
        <v>78</v>
      </c>
    </row>
    <row r="27" spans="1:6" ht="20.100000000000001" customHeight="1" x14ac:dyDescent="0.25">
      <c r="A27" s="1">
        <v>1</v>
      </c>
      <c r="B27" s="1" t="s">
        <v>49</v>
      </c>
      <c r="C27" s="2">
        <v>10</v>
      </c>
      <c r="D27" s="1"/>
      <c r="E27" s="2"/>
      <c r="F27" s="1"/>
    </row>
    <row r="28" spans="1:6" ht="20.100000000000001" customHeight="1" x14ac:dyDescent="0.25">
      <c r="A28" s="1">
        <v>2</v>
      </c>
      <c r="B28" s="1" t="s">
        <v>52</v>
      </c>
      <c r="C28" s="2">
        <v>7</v>
      </c>
      <c r="D28" s="1"/>
      <c r="E28" s="2"/>
      <c r="F28" s="1"/>
    </row>
    <row r="29" spans="1:6" ht="20.100000000000001" customHeight="1" x14ac:dyDescent="0.25">
      <c r="A29" s="1">
        <v>3</v>
      </c>
      <c r="B29" s="1" t="s">
        <v>16</v>
      </c>
      <c r="C29" s="2">
        <v>3</v>
      </c>
      <c r="D29" s="1"/>
      <c r="E29" s="2"/>
      <c r="F29" s="1"/>
    </row>
    <row r="30" spans="1:6" ht="20.100000000000001" customHeight="1" x14ac:dyDescent="0.25">
      <c r="A30" s="1">
        <v>4</v>
      </c>
      <c r="B30" s="1" t="s">
        <v>15</v>
      </c>
      <c r="C30" s="2">
        <v>3</v>
      </c>
      <c r="D30" s="1"/>
      <c r="E30" s="2"/>
      <c r="F30" s="1"/>
    </row>
    <row r="31" spans="1:6" ht="20.100000000000001" customHeight="1" x14ac:dyDescent="0.25">
      <c r="A31" s="1">
        <v>5</v>
      </c>
      <c r="B31" s="1" t="s">
        <v>14</v>
      </c>
      <c r="C31" s="2">
        <v>3</v>
      </c>
      <c r="D31" s="1"/>
      <c r="E31" s="2"/>
      <c r="F31" s="1"/>
    </row>
    <row r="32" spans="1:6" ht="20.100000000000001" customHeight="1" x14ac:dyDescent="0.25">
      <c r="A32" s="1">
        <v>6</v>
      </c>
      <c r="B32" s="1" t="s">
        <v>13</v>
      </c>
      <c r="C32" s="2">
        <v>3</v>
      </c>
      <c r="D32" s="1"/>
      <c r="E32" s="2"/>
      <c r="F32" s="1"/>
    </row>
    <row r="33" spans="1:6" ht="20.100000000000001" customHeight="1" x14ac:dyDescent="0.25">
      <c r="A33" s="1">
        <v>7</v>
      </c>
      <c r="B33" s="1" t="s">
        <v>12</v>
      </c>
      <c r="C33" s="2">
        <v>3</v>
      </c>
      <c r="D33" s="1"/>
      <c r="E33" s="2"/>
      <c r="F33" s="1"/>
    </row>
    <row r="34" spans="1:6" ht="20.100000000000001" customHeight="1" x14ac:dyDescent="0.25">
      <c r="A34" s="1">
        <v>8</v>
      </c>
      <c r="B34" s="1" t="s">
        <v>50</v>
      </c>
      <c r="C34" s="2">
        <v>5</v>
      </c>
      <c r="D34" s="1"/>
      <c r="E34" s="2"/>
      <c r="F34" s="1"/>
    </row>
    <row r="35" spans="1:6" ht="20.100000000000001" customHeight="1" x14ac:dyDescent="0.25">
      <c r="A35" s="1">
        <v>9</v>
      </c>
      <c r="B35" s="1" t="s">
        <v>48</v>
      </c>
      <c r="C35" s="2">
        <v>5</v>
      </c>
      <c r="D35" s="1"/>
      <c r="E35" s="2"/>
      <c r="F35" s="1"/>
    </row>
    <row r="36" spans="1:6" ht="20.100000000000001" customHeight="1" x14ac:dyDescent="0.25">
      <c r="A36" s="1">
        <v>10</v>
      </c>
      <c r="B36" s="1" t="s">
        <v>54</v>
      </c>
      <c r="C36" s="2">
        <v>4</v>
      </c>
      <c r="D36" s="1"/>
      <c r="E36" s="2"/>
      <c r="F36" s="1"/>
    </row>
    <row r="37" spans="1:6" ht="20.100000000000001" customHeight="1" x14ac:dyDescent="0.25">
      <c r="A37" s="1">
        <v>11</v>
      </c>
      <c r="B37" s="1" t="s">
        <v>46</v>
      </c>
      <c r="C37" s="2">
        <v>5</v>
      </c>
      <c r="D37" s="1"/>
      <c r="E37" s="2"/>
      <c r="F37" s="1"/>
    </row>
    <row r="38" spans="1:6" ht="20.100000000000001" customHeight="1" x14ac:dyDescent="0.25">
      <c r="B38" t="s">
        <v>19</v>
      </c>
      <c r="C38" s="3">
        <f>SUM(C27:C37)</f>
        <v>51</v>
      </c>
      <c r="E38" s="3">
        <f>SUM(E27:E37)</f>
        <v>0</v>
      </c>
    </row>
    <row r="39" spans="1:6" ht="20.100000000000001" customHeight="1" x14ac:dyDescent="0.25"/>
    <row r="40" spans="1:6" ht="20.100000000000001" customHeight="1" x14ac:dyDescent="0.25">
      <c r="A40" s="13" t="s">
        <v>21</v>
      </c>
    </row>
    <row r="41" spans="1:6" ht="20.100000000000001" customHeight="1" x14ac:dyDescent="0.25">
      <c r="A41" s="7" t="s">
        <v>3</v>
      </c>
      <c r="B41" s="6" t="s">
        <v>6</v>
      </c>
      <c r="C41" s="6" t="s">
        <v>7</v>
      </c>
      <c r="D41" s="6" t="s">
        <v>8</v>
      </c>
      <c r="E41" s="6" t="s">
        <v>56</v>
      </c>
      <c r="F41" s="9" t="s">
        <v>78</v>
      </c>
    </row>
    <row r="42" spans="1:6" ht="20.100000000000001" customHeight="1" x14ac:dyDescent="0.25">
      <c r="A42" s="1">
        <v>1</v>
      </c>
      <c r="B42" s="1" t="s">
        <v>23</v>
      </c>
      <c r="C42" s="1">
        <v>7</v>
      </c>
      <c r="D42" s="1"/>
      <c r="E42" s="2"/>
      <c r="F42" s="1"/>
    </row>
    <row r="43" spans="1:6" ht="20.100000000000001" customHeight="1" x14ac:dyDescent="0.25">
      <c r="A43" s="1">
        <v>2</v>
      </c>
      <c r="B43" s="1" t="s">
        <v>25</v>
      </c>
      <c r="C43" s="1">
        <v>5</v>
      </c>
      <c r="D43" s="1"/>
      <c r="E43" s="2"/>
      <c r="F43" s="1"/>
    </row>
    <row r="44" spans="1:6" ht="20.100000000000001" customHeight="1" x14ac:dyDescent="0.25">
      <c r="A44" s="1">
        <v>3</v>
      </c>
      <c r="B44" s="1" t="s">
        <v>22</v>
      </c>
      <c r="C44" s="1">
        <v>6</v>
      </c>
      <c r="D44" s="1"/>
      <c r="E44" s="2"/>
      <c r="F44" s="1"/>
    </row>
    <row r="45" spans="1:6" ht="20.100000000000001" customHeight="1" x14ac:dyDescent="0.25">
      <c r="A45" s="1">
        <v>4</v>
      </c>
      <c r="B45" s="1" t="s">
        <v>24</v>
      </c>
      <c r="C45" s="1">
        <v>5</v>
      </c>
      <c r="D45" s="1"/>
      <c r="E45" s="2"/>
      <c r="F45" s="1"/>
    </row>
    <row r="46" spans="1:6" ht="20.100000000000001" customHeight="1" x14ac:dyDescent="0.25">
      <c r="B46" t="s">
        <v>19</v>
      </c>
      <c r="C46">
        <f>SUM(C42:C45)</f>
        <v>23</v>
      </c>
      <c r="E46" s="3">
        <f>SUM(E42:E45)</f>
        <v>0</v>
      </c>
    </row>
    <row r="47" spans="1:6" ht="20.100000000000001" customHeight="1" x14ac:dyDescent="0.25"/>
    <row r="48" spans="1:6" x14ac:dyDescent="0.25">
      <c r="B48" t="s">
        <v>55</v>
      </c>
      <c r="C48">
        <f>SUM(C46,C38,C22)</f>
        <v>126</v>
      </c>
      <c r="E48" s="3">
        <f>SUM(E46,E38,E22)</f>
        <v>0</v>
      </c>
    </row>
  </sheetData>
  <sheetProtection selectLockedCells="1" selectUnlockedCells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44"/>
  <sheetViews>
    <sheetView workbookViewId="0">
      <selection activeCell="D26" sqref="D26"/>
    </sheetView>
  </sheetViews>
  <sheetFormatPr defaultRowHeight="15" x14ac:dyDescent="0.25"/>
  <cols>
    <col min="1" max="1" width="4.85546875" customWidth="1"/>
    <col min="2" max="2" width="23.5703125" bestFit="1" customWidth="1"/>
    <col min="3" max="3" width="4.28515625" customWidth="1"/>
    <col min="4" max="4" width="35.5703125" customWidth="1"/>
    <col min="5" max="5" width="15.5703125" customWidth="1"/>
    <col min="6" max="6" width="47" customWidth="1"/>
  </cols>
  <sheetData>
    <row r="1" spans="1:6" ht="28.5" x14ac:dyDescent="0.45">
      <c r="A1" s="4" t="s">
        <v>57</v>
      </c>
      <c r="B1" s="5"/>
      <c r="C1" s="5"/>
      <c r="D1" s="5"/>
      <c r="E1" s="5"/>
    </row>
    <row r="3" spans="1:6" ht="20.100000000000001" customHeight="1" x14ac:dyDescent="0.25">
      <c r="A3" t="s">
        <v>1</v>
      </c>
    </row>
    <row r="4" spans="1:6" ht="20.100000000000001" customHeight="1" x14ac:dyDescent="0.25">
      <c r="A4" t="s">
        <v>2</v>
      </c>
    </row>
    <row r="5" spans="1:6" ht="20.100000000000001" customHeight="1" x14ac:dyDescent="0.25"/>
    <row r="6" spans="1:6" ht="20.100000000000001" customHeight="1" x14ac:dyDescent="0.25">
      <c r="A6" t="s">
        <v>73</v>
      </c>
    </row>
    <row r="7" spans="1:6" ht="20.100000000000001" customHeight="1" x14ac:dyDescent="0.25">
      <c r="A7" t="s">
        <v>74</v>
      </c>
    </row>
    <row r="8" spans="1:6" ht="20.100000000000001" customHeight="1" x14ac:dyDescent="0.25">
      <c r="A8" s="6" t="s">
        <v>3</v>
      </c>
      <c r="B8" s="6" t="s">
        <v>6</v>
      </c>
      <c r="C8" s="6" t="s">
        <v>7</v>
      </c>
      <c r="D8" s="6" t="s">
        <v>8</v>
      </c>
      <c r="E8" s="6" t="s">
        <v>56</v>
      </c>
      <c r="F8" s="9" t="s">
        <v>78</v>
      </c>
    </row>
    <row r="9" spans="1:6" ht="20.100000000000001" customHeight="1" x14ac:dyDescent="0.25">
      <c r="A9" s="2">
        <v>1</v>
      </c>
      <c r="B9" s="1" t="s">
        <v>9</v>
      </c>
      <c r="C9" s="2">
        <v>4</v>
      </c>
      <c r="D9" s="1"/>
      <c r="E9" s="2"/>
      <c r="F9" s="1"/>
    </row>
    <row r="10" spans="1:6" ht="30" customHeight="1" x14ac:dyDescent="0.25">
      <c r="A10" s="16">
        <v>2</v>
      </c>
      <c r="B10" s="15" t="s">
        <v>81</v>
      </c>
      <c r="C10" s="16">
        <v>1</v>
      </c>
      <c r="D10" s="1"/>
      <c r="E10" s="2"/>
      <c r="F10" s="1"/>
    </row>
    <row r="11" spans="1:6" ht="20.100000000000001" customHeight="1" x14ac:dyDescent="0.25">
      <c r="A11" s="2">
        <v>3</v>
      </c>
      <c r="B11" s="1" t="s">
        <v>60</v>
      </c>
      <c r="C11" s="2">
        <v>4</v>
      </c>
      <c r="D11" s="1"/>
      <c r="E11" s="2"/>
      <c r="F11" s="1"/>
    </row>
    <row r="12" spans="1:6" ht="20.100000000000001" customHeight="1" x14ac:dyDescent="0.25">
      <c r="A12" s="2">
        <v>4</v>
      </c>
      <c r="B12" s="1" t="s">
        <v>61</v>
      </c>
      <c r="C12" s="2">
        <v>3</v>
      </c>
      <c r="D12" s="1"/>
      <c r="E12" s="2"/>
      <c r="F12" s="1"/>
    </row>
    <row r="13" spans="1:6" ht="20.100000000000001" customHeight="1" x14ac:dyDescent="0.25">
      <c r="A13" s="2">
        <v>5</v>
      </c>
      <c r="B13" s="1" t="s">
        <v>62</v>
      </c>
      <c r="C13" s="2">
        <v>5</v>
      </c>
      <c r="D13" s="1"/>
      <c r="E13" s="2"/>
      <c r="F13" s="1"/>
    </row>
    <row r="14" spans="1:6" ht="20.100000000000001" customHeight="1" x14ac:dyDescent="0.25">
      <c r="A14" s="2">
        <v>6</v>
      </c>
      <c r="B14" s="1" t="s">
        <v>63</v>
      </c>
      <c r="C14" s="2">
        <v>5</v>
      </c>
      <c r="D14" s="1"/>
      <c r="E14" s="2"/>
      <c r="F14" s="1"/>
    </row>
    <row r="15" spans="1:6" ht="20.100000000000001" customHeight="1" x14ac:dyDescent="0.25">
      <c r="A15" s="2">
        <v>7</v>
      </c>
      <c r="B15" s="1" t="s">
        <v>64</v>
      </c>
      <c r="C15" s="2">
        <v>6</v>
      </c>
      <c r="D15" s="1"/>
      <c r="E15" s="2"/>
      <c r="F15" s="1"/>
    </row>
    <row r="16" spans="1:6" ht="20.100000000000001" customHeight="1" x14ac:dyDescent="0.25">
      <c r="A16" s="2">
        <v>8</v>
      </c>
      <c r="B16" s="1" t="s">
        <v>65</v>
      </c>
      <c r="C16" s="2">
        <v>6</v>
      </c>
      <c r="D16" s="1"/>
      <c r="E16" s="2"/>
      <c r="F16" s="1"/>
    </row>
    <row r="17" spans="1:6" ht="20.100000000000001" customHeight="1" x14ac:dyDescent="0.25">
      <c r="A17" s="2">
        <v>9</v>
      </c>
      <c r="B17" s="1" t="s">
        <v>40</v>
      </c>
      <c r="C17" s="2">
        <v>3</v>
      </c>
      <c r="D17" s="1"/>
      <c r="E17" s="2"/>
      <c r="F17" s="1"/>
    </row>
    <row r="18" spans="1:6" ht="20.100000000000001" customHeight="1" x14ac:dyDescent="0.25">
      <c r="A18" s="2">
        <v>13</v>
      </c>
      <c r="B18" s="1" t="s">
        <v>18</v>
      </c>
      <c r="C18" s="2">
        <v>4</v>
      </c>
      <c r="D18" s="1"/>
      <c r="E18" s="2"/>
      <c r="F18" s="1"/>
    </row>
    <row r="19" spans="1:6" ht="20.100000000000001" customHeight="1" x14ac:dyDescent="0.25">
      <c r="B19" t="s">
        <v>19</v>
      </c>
      <c r="C19" s="3">
        <f>SUM(C9:C18)</f>
        <v>41</v>
      </c>
      <c r="E19" s="3">
        <f>SUM(E9:E18)</f>
        <v>0</v>
      </c>
    </row>
    <row r="20" spans="1:6" ht="20.100000000000001" customHeight="1" x14ac:dyDescent="0.25"/>
    <row r="21" spans="1:6" ht="20.100000000000001" customHeight="1" x14ac:dyDescent="0.25"/>
    <row r="22" spans="1:6" ht="20.100000000000001" customHeight="1" x14ac:dyDescent="0.25"/>
    <row r="23" spans="1:6" ht="20.100000000000001" customHeight="1" x14ac:dyDescent="0.25"/>
    <row r="24" spans="1:6" ht="20.100000000000001" customHeight="1" x14ac:dyDescent="0.25"/>
    <row r="25" spans="1:6" ht="20.100000000000001" customHeight="1" x14ac:dyDescent="0.25">
      <c r="A25" t="s">
        <v>75</v>
      </c>
    </row>
    <row r="26" spans="1:6" ht="20.100000000000001" customHeight="1" x14ac:dyDescent="0.25">
      <c r="A26" s="6" t="s">
        <v>3</v>
      </c>
      <c r="B26" s="6" t="s">
        <v>6</v>
      </c>
      <c r="C26" s="6" t="s">
        <v>7</v>
      </c>
      <c r="D26" s="6" t="s">
        <v>8</v>
      </c>
      <c r="E26" s="6" t="s">
        <v>56</v>
      </c>
      <c r="F26" s="9" t="s">
        <v>78</v>
      </c>
    </row>
    <row r="27" spans="1:6" ht="20.100000000000001" customHeight="1" x14ac:dyDescent="0.25">
      <c r="A27" s="1">
        <v>1</v>
      </c>
      <c r="B27" s="1" t="s">
        <v>62</v>
      </c>
      <c r="C27" s="2">
        <v>5</v>
      </c>
      <c r="D27" s="1"/>
      <c r="E27" s="2"/>
      <c r="F27" s="1"/>
    </row>
    <row r="28" spans="1:6" ht="20.100000000000001" customHeight="1" x14ac:dyDescent="0.25">
      <c r="A28" s="1">
        <v>2</v>
      </c>
      <c r="B28" s="1" t="s">
        <v>63</v>
      </c>
      <c r="C28" s="2">
        <v>5</v>
      </c>
      <c r="D28" s="1"/>
      <c r="E28" s="2"/>
      <c r="F28" s="1"/>
    </row>
    <row r="29" spans="1:6" ht="20.100000000000001" customHeight="1" x14ac:dyDescent="0.25">
      <c r="A29" s="1">
        <v>3</v>
      </c>
      <c r="B29" s="1" t="s">
        <v>64</v>
      </c>
      <c r="C29" s="2">
        <v>6</v>
      </c>
      <c r="D29" s="1"/>
      <c r="E29" s="2"/>
      <c r="F29" s="1"/>
    </row>
    <row r="30" spans="1:6" ht="20.100000000000001" customHeight="1" x14ac:dyDescent="0.25">
      <c r="A30" s="1">
        <v>4</v>
      </c>
      <c r="B30" s="1" t="s">
        <v>65</v>
      </c>
      <c r="C30" s="2">
        <v>6</v>
      </c>
      <c r="D30" s="1"/>
      <c r="E30" s="2"/>
      <c r="F30" s="1"/>
    </row>
    <row r="31" spans="1:6" ht="29.25" customHeight="1" x14ac:dyDescent="0.25">
      <c r="A31" s="17">
        <v>5</v>
      </c>
      <c r="B31" s="15" t="s">
        <v>82</v>
      </c>
      <c r="C31" s="16">
        <v>9</v>
      </c>
      <c r="D31" s="1"/>
      <c r="E31" s="2"/>
      <c r="F31" s="1"/>
    </row>
    <row r="32" spans="1:6" ht="20.100000000000001" customHeight="1" x14ac:dyDescent="0.25">
      <c r="A32" s="1">
        <v>6</v>
      </c>
      <c r="B32" s="1" t="s">
        <v>60</v>
      </c>
      <c r="C32" s="2">
        <v>4</v>
      </c>
      <c r="D32" s="1"/>
      <c r="E32" s="2"/>
      <c r="F32" s="1"/>
    </row>
    <row r="33" spans="1:6" ht="20.100000000000001" customHeight="1" x14ac:dyDescent="0.25">
      <c r="A33" s="1">
        <v>7</v>
      </c>
      <c r="B33" s="1" t="s">
        <v>27</v>
      </c>
      <c r="C33" s="2">
        <v>2</v>
      </c>
      <c r="D33" s="1"/>
      <c r="E33" s="2"/>
      <c r="F33" s="1"/>
    </row>
    <row r="34" spans="1:6" ht="20.100000000000001" customHeight="1" x14ac:dyDescent="0.25">
      <c r="B34" t="s">
        <v>19</v>
      </c>
      <c r="C34" s="3">
        <f>SUM(C27:C33)</f>
        <v>37</v>
      </c>
      <c r="E34" s="3">
        <f>SUM(E27:E33)</f>
        <v>0</v>
      </c>
    </row>
    <row r="35" spans="1:6" ht="20.100000000000001" customHeight="1" x14ac:dyDescent="0.25"/>
    <row r="36" spans="1:6" ht="20.100000000000001" customHeight="1" x14ac:dyDescent="0.25">
      <c r="A36" s="13" t="s">
        <v>72</v>
      </c>
    </row>
    <row r="37" spans="1:6" ht="20.100000000000001" customHeight="1" x14ac:dyDescent="0.25">
      <c r="A37" s="7" t="s">
        <v>3</v>
      </c>
      <c r="B37" s="6" t="s">
        <v>6</v>
      </c>
      <c r="C37" s="6" t="s">
        <v>7</v>
      </c>
      <c r="D37" s="6" t="s">
        <v>8</v>
      </c>
      <c r="E37" s="6" t="s">
        <v>56</v>
      </c>
      <c r="F37" s="9" t="s">
        <v>78</v>
      </c>
    </row>
    <row r="38" spans="1:6" ht="20.100000000000001" customHeight="1" x14ac:dyDescent="0.25">
      <c r="A38" s="1">
        <v>1</v>
      </c>
      <c r="B38" s="1" t="s">
        <v>23</v>
      </c>
      <c r="C38" s="1">
        <v>5</v>
      </c>
      <c r="D38" s="1"/>
      <c r="E38" s="2"/>
      <c r="F38" s="1"/>
    </row>
    <row r="39" spans="1:6" ht="20.100000000000001" customHeight="1" x14ac:dyDescent="0.25">
      <c r="A39" s="1">
        <v>2</v>
      </c>
      <c r="B39" s="1" t="s">
        <v>25</v>
      </c>
      <c r="C39" s="1">
        <v>5</v>
      </c>
      <c r="D39" s="1"/>
      <c r="E39" s="2"/>
      <c r="F39" s="1"/>
    </row>
    <row r="40" spans="1:6" ht="20.100000000000001" customHeight="1" x14ac:dyDescent="0.25">
      <c r="A40" s="1">
        <v>3</v>
      </c>
      <c r="B40" s="1" t="s">
        <v>22</v>
      </c>
      <c r="C40" s="1">
        <v>5</v>
      </c>
      <c r="D40" s="1"/>
      <c r="E40" s="2"/>
      <c r="F40" s="1"/>
    </row>
    <row r="41" spans="1:6" x14ac:dyDescent="0.25">
      <c r="A41" s="1">
        <v>4</v>
      </c>
      <c r="B41" s="1" t="s">
        <v>24</v>
      </c>
      <c r="C41" s="1">
        <v>5</v>
      </c>
      <c r="D41" s="1"/>
      <c r="E41" s="2"/>
      <c r="F41" s="1"/>
    </row>
    <row r="42" spans="1:6" x14ac:dyDescent="0.25">
      <c r="B42" t="s">
        <v>19</v>
      </c>
      <c r="C42">
        <f>SUM(C38:C41)</f>
        <v>20</v>
      </c>
      <c r="E42" s="3">
        <f>SUM(E38:E41)</f>
        <v>0</v>
      </c>
    </row>
    <row r="44" spans="1:6" x14ac:dyDescent="0.25">
      <c r="B44" t="s">
        <v>55</v>
      </c>
      <c r="C44">
        <f>SUM(C42,C34,C19)</f>
        <v>98</v>
      </c>
      <c r="E44" s="3">
        <f>SUM(E42,E34,E19)</f>
        <v>0</v>
      </c>
    </row>
  </sheetData>
  <sheetProtection selectLockedCells="1" selectUnlockedCells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47"/>
  <sheetViews>
    <sheetView workbookViewId="0">
      <selection activeCell="D26" sqref="D26"/>
    </sheetView>
  </sheetViews>
  <sheetFormatPr defaultRowHeight="15" x14ac:dyDescent="0.25"/>
  <cols>
    <col min="1" max="1" width="4.85546875" customWidth="1"/>
    <col min="2" max="2" width="23.5703125" bestFit="1" customWidth="1"/>
    <col min="3" max="3" width="4.28515625" customWidth="1"/>
    <col min="4" max="4" width="37.85546875" customWidth="1"/>
    <col min="5" max="5" width="14.7109375" customWidth="1"/>
    <col min="6" max="6" width="45.42578125" customWidth="1"/>
  </cols>
  <sheetData>
    <row r="1" spans="1:6" ht="28.5" x14ac:dyDescent="0.45">
      <c r="A1" s="4" t="s">
        <v>66</v>
      </c>
      <c r="B1" s="5"/>
      <c r="C1" s="5"/>
      <c r="D1" s="5"/>
    </row>
    <row r="3" spans="1:6" ht="20.100000000000001" customHeight="1" x14ac:dyDescent="0.25">
      <c r="A3" t="s">
        <v>1</v>
      </c>
    </row>
    <row r="4" spans="1:6" ht="20.100000000000001" customHeight="1" x14ac:dyDescent="0.25">
      <c r="A4" t="s">
        <v>2</v>
      </c>
    </row>
    <row r="5" spans="1:6" ht="20.100000000000001" customHeight="1" x14ac:dyDescent="0.25"/>
    <row r="6" spans="1:6" ht="20.100000000000001" customHeight="1" x14ac:dyDescent="0.25">
      <c r="A6" t="s">
        <v>4</v>
      </c>
    </row>
    <row r="7" spans="1:6" ht="20.100000000000001" customHeight="1" x14ac:dyDescent="0.25">
      <c r="A7" t="s">
        <v>76</v>
      </c>
    </row>
    <row r="8" spans="1:6" ht="20.100000000000001" customHeight="1" x14ac:dyDescent="0.25">
      <c r="A8" s="6" t="s">
        <v>3</v>
      </c>
      <c r="B8" s="6" t="s">
        <v>6</v>
      </c>
      <c r="C8" s="6" t="s">
        <v>7</v>
      </c>
      <c r="D8" s="6" t="s">
        <v>8</v>
      </c>
      <c r="E8" s="6" t="s">
        <v>56</v>
      </c>
      <c r="F8" s="9" t="s">
        <v>78</v>
      </c>
    </row>
    <row r="9" spans="1:6" ht="20.100000000000001" customHeight="1" x14ac:dyDescent="0.25">
      <c r="A9" s="2">
        <v>1</v>
      </c>
      <c r="B9" s="1" t="s">
        <v>9</v>
      </c>
      <c r="C9" s="2">
        <v>5</v>
      </c>
      <c r="D9" s="1"/>
      <c r="E9" s="2"/>
      <c r="F9" s="1"/>
    </row>
    <row r="10" spans="1:6" ht="20.100000000000001" customHeight="1" x14ac:dyDescent="0.25">
      <c r="A10" s="2">
        <v>2</v>
      </c>
      <c r="B10" s="1" t="s">
        <v>68</v>
      </c>
      <c r="C10" s="2">
        <v>8</v>
      </c>
      <c r="D10" s="1"/>
      <c r="E10" s="2"/>
      <c r="F10" s="1"/>
    </row>
    <row r="11" spans="1:6" ht="20.100000000000001" customHeight="1" x14ac:dyDescent="0.25">
      <c r="A11" s="2">
        <v>3</v>
      </c>
      <c r="B11" s="1" t="s">
        <v>67</v>
      </c>
      <c r="C11" s="2">
        <v>3</v>
      </c>
      <c r="D11" s="1"/>
      <c r="E11" s="2"/>
      <c r="F11" s="1"/>
    </row>
    <row r="12" spans="1:6" ht="20.100000000000001" customHeight="1" x14ac:dyDescent="0.25">
      <c r="A12" s="2">
        <v>4</v>
      </c>
      <c r="B12" s="1" t="s">
        <v>70</v>
      </c>
      <c r="C12" s="2">
        <v>10</v>
      </c>
      <c r="D12" s="1"/>
      <c r="E12" s="2"/>
      <c r="F12" s="1"/>
    </row>
    <row r="13" spans="1:6" ht="20.100000000000001" customHeight="1" x14ac:dyDescent="0.25">
      <c r="A13" s="2">
        <v>5</v>
      </c>
      <c r="B13" s="1" t="s">
        <v>69</v>
      </c>
      <c r="C13" s="2">
        <v>2</v>
      </c>
      <c r="D13" s="1"/>
      <c r="E13" s="2"/>
      <c r="F13" s="1"/>
    </row>
    <row r="14" spans="1:6" ht="20.100000000000001" customHeight="1" x14ac:dyDescent="0.25">
      <c r="A14" s="2">
        <v>6</v>
      </c>
      <c r="B14" s="1" t="s">
        <v>50</v>
      </c>
      <c r="C14" s="2">
        <v>5</v>
      </c>
      <c r="D14" s="1"/>
      <c r="E14" s="2"/>
      <c r="F14" s="1"/>
    </row>
    <row r="15" spans="1:6" ht="20.100000000000001" customHeight="1" x14ac:dyDescent="0.25">
      <c r="A15" s="2">
        <v>7</v>
      </c>
      <c r="B15" s="1" t="s">
        <v>12</v>
      </c>
      <c r="C15" s="2">
        <v>4</v>
      </c>
      <c r="D15" s="1"/>
      <c r="E15" s="2"/>
      <c r="F15" s="1"/>
    </row>
    <row r="16" spans="1:6" ht="20.100000000000001" customHeight="1" x14ac:dyDescent="0.25">
      <c r="A16" s="2">
        <v>8</v>
      </c>
      <c r="B16" s="1" t="s">
        <v>13</v>
      </c>
      <c r="C16" s="2">
        <v>4</v>
      </c>
      <c r="D16" s="1"/>
      <c r="E16" s="2"/>
      <c r="F16" s="1"/>
    </row>
    <row r="17" spans="1:6" ht="20.100000000000001" customHeight="1" x14ac:dyDescent="0.25">
      <c r="A17" s="2">
        <v>9</v>
      </c>
      <c r="B17" s="1" t="s">
        <v>14</v>
      </c>
      <c r="C17" s="2">
        <v>4</v>
      </c>
      <c r="D17" s="1"/>
      <c r="E17" s="2"/>
      <c r="F17" s="1"/>
    </row>
    <row r="18" spans="1:6" ht="20.100000000000001" customHeight="1" x14ac:dyDescent="0.25">
      <c r="A18" s="2">
        <v>10</v>
      </c>
      <c r="B18" s="1" t="s">
        <v>15</v>
      </c>
      <c r="C18" s="2">
        <v>4</v>
      </c>
      <c r="D18" s="1"/>
      <c r="E18" s="2"/>
      <c r="F18" s="1"/>
    </row>
    <row r="19" spans="1:6" ht="20.100000000000001" customHeight="1" x14ac:dyDescent="0.25">
      <c r="A19" s="2">
        <v>11</v>
      </c>
      <c r="B19" s="1" t="s">
        <v>16</v>
      </c>
      <c r="C19" s="2">
        <v>4</v>
      </c>
      <c r="D19" s="1"/>
      <c r="E19" s="2"/>
      <c r="F19" s="1"/>
    </row>
    <row r="20" spans="1:6" ht="20.100000000000001" customHeight="1" x14ac:dyDescent="0.25">
      <c r="A20" s="2">
        <v>12</v>
      </c>
      <c r="B20" s="1" t="s">
        <v>18</v>
      </c>
      <c r="C20" s="2">
        <v>4</v>
      </c>
      <c r="D20" s="1"/>
      <c r="E20" s="2"/>
      <c r="F20" s="1"/>
    </row>
    <row r="21" spans="1:6" ht="20.100000000000001" customHeight="1" x14ac:dyDescent="0.25">
      <c r="B21" t="s">
        <v>19</v>
      </c>
      <c r="C21" s="3">
        <f>SUM(C9:C20)</f>
        <v>57</v>
      </c>
      <c r="E21" s="3">
        <f>SUM(E9:E20)</f>
        <v>0</v>
      </c>
    </row>
    <row r="22" spans="1:6" ht="20.100000000000001" customHeight="1" x14ac:dyDescent="0.25"/>
    <row r="23" spans="1:6" ht="20.100000000000001" customHeight="1" x14ac:dyDescent="0.25"/>
    <row r="24" spans="1:6" ht="20.100000000000001" customHeight="1" x14ac:dyDescent="0.25"/>
    <row r="25" spans="1:6" ht="20.100000000000001" customHeight="1" x14ac:dyDescent="0.25">
      <c r="A25" t="s">
        <v>77</v>
      </c>
    </row>
    <row r="26" spans="1:6" ht="20.100000000000001" customHeight="1" x14ac:dyDescent="0.25">
      <c r="A26" s="6" t="s">
        <v>3</v>
      </c>
      <c r="B26" s="6" t="s">
        <v>6</v>
      </c>
      <c r="C26" s="6" t="s">
        <v>7</v>
      </c>
      <c r="D26" s="6" t="s">
        <v>8</v>
      </c>
      <c r="E26" s="6" t="s">
        <v>56</v>
      </c>
      <c r="F26" s="9" t="s">
        <v>78</v>
      </c>
    </row>
    <row r="27" spans="1:6" ht="20.100000000000001" customHeight="1" x14ac:dyDescent="0.25">
      <c r="A27" s="1">
        <v>1</v>
      </c>
      <c r="B27" s="1" t="s">
        <v>70</v>
      </c>
      <c r="C27" s="2">
        <v>10</v>
      </c>
      <c r="D27" s="1"/>
      <c r="E27" s="2"/>
      <c r="F27" s="1"/>
    </row>
    <row r="28" spans="1:6" ht="20.100000000000001" customHeight="1" x14ac:dyDescent="0.25">
      <c r="A28" s="1">
        <v>2</v>
      </c>
      <c r="B28" s="1" t="s">
        <v>69</v>
      </c>
      <c r="C28" s="2">
        <v>3</v>
      </c>
      <c r="D28" s="1"/>
      <c r="E28" s="2"/>
      <c r="F28" s="1"/>
    </row>
    <row r="29" spans="1:6" ht="20.100000000000001" customHeight="1" x14ac:dyDescent="0.25">
      <c r="A29" s="1">
        <v>3</v>
      </c>
      <c r="B29" s="1" t="s">
        <v>16</v>
      </c>
      <c r="C29" s="2">
        <v>4</v>
      </c>
      <c r="D29" s="1"/>
      <c r="E29" s="2"/>
      <c r="F29" s="1"/>
    </row>
    <row r="30" spans="1:6" ht="20.100000000000001" customHeight="1" x14ac:dyDescent="0.25">
      <c r="A30" s="1">
        <v>4</v>
      </c>
      <c r="B30" s="1" t="s">
        <v>15</v>
      </c>
      <c r="C30" s="2">
        <v>4</v>
      </c>
      <c r="D30" s="1"/>
      <c r="E30" s="2"/>
      <c r="F30" s="1"/>
    </row>
    <row r="31" spans="1:6" ht="20.100000000000001" customHeight="1" x14ac:dyDescent="0.25">
      <c r="A31" s="1">
        <v>5</v>
      </c>
      <c r="B31" s="1" t="s">
        <v>14</v>
      </c>
      <c r="C31" s="2">
        <v>4</v>
      </c>
      <c r="D31" s="1"/>
      <c r="E31" s="2"/>
      <c r="F31" s="1"/>
    </row>
    <row r="32" spans="1:6" ht="20.100000000000001" customHeight="1" x14ac:dyDescent="0.25">
      <c r="A32" s="1">
        <v>6</v>
      </c>
      <c r="B32" s="1" t="s">
        <v>13</v>
      </c>
      <c r="C32" s="2">
        <v>4</v>
      </c>
      <c r="D32" s="1"/>
      <c r="E32" s="2"/>
      <c r="F32" s="1"/>
    </row>
    <row r="33" spans="1:6" ht="20.100000000000001" customHeight="1" x14ac:dyDescent="0.25">
      <c r="A33" s="1">
        <v>7</v>
      </c>
      <c r="B33" s="1" t="s">
        <v>12</v>
      </c>
      <c r="C33" s="2">
        <v>4</v>
      </c>
      <c r="D33" s="1"/>
      <c r="E33" s="2"/>
      <c r="F33" s="1"/>
    </row>
    <row r="34" spans="1:6" ht="20.100000000000001" customHeight="1" x14ac:dyDescent="0.25">
      <c r="A34" s="1">
        <v>8</v>
      </c>
      <c r="B34" s="1" t="s">
        <v>50</v>
      </c>
      <c r="C34" s="2">
        <v>6</v>
      </c>
      <c r="D34" s="1"/>
      <c r="E34" s="2"/>
      <c r="F34" s="1"/>
    </row>
    <row r="35" spans="1:6" ht="20.100000000000001" customHeight="1" x14ac:dyDescent="0.25">
      <c r="A35" s="1">
        <v>9</v>
      </c>
      <c r="B35" s="1" t="s">
        <v>71</v>
      </c>
      <c r="C35" s="2">
        <v>4</v>
      </c>
      <c r="D35" s="1"/>
      <c r="E35" s="2"/>
      <c r="F35" s="1"/>
    </row>
    <row r="36" spans="1:6" ht="20.100000000000001" customHeight="1" x14ac:dyDescent="0.25">
      <c r="A36" s="1">
        <v>10</v>
      </c>
      <c r="B36" s="1" t="s">
        <v>68</v>
      </c>
      <c r="C36" s="2">
        <v>10</v>
      </c>
      <c r="D36" s="1"/>
      <c r="E36" s="2"/>
      <c r="F36" s="1"/>
    </row>
    <row r="37" spans="1:6" ht="20.100000000000001" customHeight="1" x14ac:dyDescent="0.25">
      <c r="B37" t="s">
        <v>19</v>
      </c>
      <c r="C37" s="3">
        <f>SUM(C27:C36)</f>
        <v>53</v>
      </c>
      <c r="E37" s="3">
        <f>SUM(E27:E36)</f>
        <v>0</v>
      </c>
    </row>
    <row r="38" spans="1:6" ht="20.100000000000001" customHeight="1" x14ac:dyDescent="0.25"/>
    <row r="39" spans="1:6" ht="20.100000000000001" customHeight="1" x14ac:dyDescent="0.25">
      <c r="A39" s="12" t="s">
        <v>21</v>
      </c>
    </row>
    <row r="40" spans="1:6" ht="20.100000000000001" customHeight="1" x14ac:dyDescent="0.25">
      <c r="A40" s="7" t="s">
        <v>3</v>
      </c>
      <c r="B40" s="6" t="s">
        <v>6</v>
      </c>
      <c r="C40" s="6" t="s">
        <v>7</v>
      </c>
      <c r="D40" s="6" t="s">
        <v>8</v>
      </c>
      <c r="E40" s="6" t="s">
        <v>56</v>
      </c>
      <c r="F40" s="9" t="s">
        <v>78</v>
      </c>
    </row>
    <row r="41" spans="1:6" ht="20.100000000000001" customHeight="1" x14ac:dyDescent="0.25">
      <c r="A41" s="1">
        <v>1</v>
      </c>
      <c r="B41" s="1" t="s">
        <v>23</v>
      </c>
      <c r="C41" s="1">
        <v>5</v>
      </c>
      <c r="D41" s="1"/>
      <c r="E41" s="2"/>
      <c r="F41" s="1"/>
    </row>
    <row r="42" spans="1:6" ht="20.100000000000001" customHeight="1" x14ac:dyDescent="0.25">
      <c r="A42" s="1">
        <v>2</v>
      </c>
      <c r="B42" s="1" t="s">
        <v>25</v>
      </c>
      <c r="C42" s="1">
        <v>10</v>
      </c>
      <c r="D42" s="1"/>
      <c r="E42" s="2"/>
      <c r="F42" s="1"/>
    </row>
    <row r="43" spans="1:6" ht="20.100000000000001" customHeight="1" x14ac:dyDescent="0.25">
      <c r="A43" s="1">
        <v>3</v>
      </c>
      <c r="B43" s="1" t="s">
        <v>22</v>
      </c>
      <c r="C43" s="1">
        <v>5</v>
      </c>
      <c r="D43" s="1"/>
      <c r="E43" s="2"/>
      <c r="F43" s="1"/>
    </row>
    <row r="44" spans="1:6" ht="20.100000000000001" customHeight="1" x14ac:dyDescent="0.25">
      <c r="A44" s="1">
        <v>4</v>
      </c>
      <c r="B44" s="1" t="s">
        <v>24</v>
      </c>
      <c r="C44" s="1">
        <v>5</v>
      </c>
      <c r="D44" s="1"/>
      <c r="E44" s="2"/>
      <c r="F44" s="1"/>
    </row>
    <row r="45" spans="1:6" ht="20.100000000000001" customHeight="1" x14ac:dyDescent="0.25">
      <c r="B45" t="s">
        <v>19</v>
      </c>
      <c r="C45">
        <f>SUM(C41:C44)</f>
        <v>25</v>
      </c>
      <c r="E45" s="3">
        <f>SUM(E41:E44)</f>
        <v>0</v>
      </c>
    </row>
    <row r="46" spans="1:6" x14ac:dyDescent="0.25">
      <c r="E46" s="3"/>
    </row>
    <row r="47" spans="1:6" x14ac:dyDescent="0.25">
      <c r="B47" t="s">
        <v>55</v>
      </c>
      <c r="C47">
        <f>SUM(C21,C37,C45)</f>
        <v>135</v>
      </c>
      <c r="E47" s="3">
        <f>SUM(E21,E37,E45)</f>
        <v>0</v>
      </c>
    </row>
  </sheetData>
  <sheetProtection selectLockedCells="1" selectUnlockedCells="1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45"/>
  <sheetViews>
    <sheetView topLeftCell="A28" workbookViewId="0">
      <selection activeCell="D26" sqref="D26"/>
    </sheetView>
  </sheetViews>
  <sheetFormatPr defaultRowHeight="15" x14ac:dyDescent="0.25"/>
  <cols>
    <col min="1" max="1" width="4.85546875" customWidth="1"/>
    <col min="2" max="2" width="23.5703125" bestFit="1" customWidth="1"/>
    <col min="3" max="3" width="4.28515625" customWidth="1"/>
    <col min="4" max="4" width="38.140625" customWidth="1"/>
    <col min="5" max="5" width="13.42578125" customWidth="1"/>
    <col min="6" max="6" width="46.7109375" customWidth="1"/>
  </cols>
  <sheetData>
    <row r="1" spans="1:6" ht="28.5" x14ac:dyDescent="0.45">
      <c r="A1" s="4" t="s">
        <v>42</v>
      </c>
      <c r="B1" s="5"/>
      <c r="C1" s="5"/>
      <c r="D1" s="5"/>
    </row>
    <row r="3" spans="1:6" ht="20.100000000000001" customHeight="1" x14ac:dyDescent="0.25">
      <c r="A3" t="s">
        <v>1</v>
      </c>
    </row>
    <row r="4" spans="1:6" ht="20.100000000000001" customHeight="1" x14ac:dyDescent="0.25">
      <c r="A4" t="s">
        <v>2</v>
      </c>
    </row>
    <row r="5" spans="1:6" ht="20.100000000000001" customHeight="1" x14ac:dyDescent="0.25"/>
    <row r="6" spans="1:6" ht="20.100000000000001" customHeight="1" x14ac:dyDescent="0.25">
      <c r="A6" t="s">
        <v>4</v>
      </c>
    </row>
    <row r="7" spans="1:6" ht="20.100000000000001" customHeight="1" x14ac:dyDescent="0.25">
      <c r="A7" t="s">
        <v>5</v>
      </c>
    </row>
    <row r="8" spans="1:6" ht="20.100000000000001" customHeight="1" x14ac:dyDescent="0.25">
      <c r="A8" s="6" t="s">
        <v>3</v>
      </c>
      <c r="B8" s="6" t="s">
        <v>6</v>
      </c>
      <c r="C8" s="6" t="s">
        <v>7</v>
      </c>
      <c r="D8" s="6" t="s">
        <v>8</v>
      </c>
      <c r="E8" s="6" t="s">
        <v>56</v>
      </c>
      <c r="F8" s="9" t="s">
        <v>78</v>
      </c>
    </row>
    <row r="9" spans="1:6" ht="20.100000000000001" customHeight="1" x14ac:dyDescent="0.25">
      <c r="A9" s="2">
        <v>1</v>
      </c>
      <c r="B9" s="1" t="s">
        <v>9</v>
      </c>
      <c r="C9" s="2">
        <v>5</v>
      </c>
      <c r="D9" s="1"/>
      <c r="E9" s="2"/>
      <c r="F9" s="1"/>
    </row>
    <row r="10" spans="1:6" ht="20.100000000000001" customHeight="1" x14ac:dyDescent="0.25">
      <c r="A10" s="2">
        <v>2</v>
      </c>
      <c r="B10" s="1" t="s">
        <v>68</v>
      </c>
      <c r="C10" s="2">
        <v>8</v>
      </c>
      <c r="D10" s="1"/>
      <c r="E10" s="2"/>
      <c r="F10" s="1"/>
    </row>
    <row r="11" spans="1:6" ht="20.100000000000001" customHeight="1" x14ac:dyDescent="0.25">
      <c r="A11" s="2">
        <v>3</v>
      </c>
      <c r="B11" s="1" t="s">
        <v>11</v>
      </c>
      <c r="C11" s="2">
        <v>5</v>
      </c>
      <c r="D11" s="1"/>
      <c r="E11" s="2"/>
      <c r="F11" s="1"/>
    </row>
    <row r="12" spans="1:6" ht="20.100000000000001" customHeight="1" x14ac:dyDescent="0.25">
      <c r="A12" s="2">
        <v>4</v>
      </c>
      <c r="B12" s="1" t="s">
        <v>12</v>
      </c>
      <c r="C12" s="2">
        <v>5</v>
      </c>
      <c r="D12" s="1"/>
      <c r="E12" s="2"/>
      <c r="F12" s="1"/>
    </row>
    <row r="13" spans="1:6" ht="20.100000000000001" customHeight="1" x14ac:dyDescent="0.25">
      <c r="A13" s="2">
        <v>5</v>
      </c>
      <c r="B13" s="1" t="s">
        <v>13</v>
      </c>
      <c r="C13" s="2">
        <v>5</v>
      </c>
      <c r="D13" s="1"/>
      <c r="E13" s="2"/>
      <c r="F13" s="1"/>
    </row>
    <row r="14" spans="1:6" ht="20.100000000000001" customHeight="1" x14ac:dyDescent="0.25">
      <c r="A14" s="2">
        <v>6</v>
      </c>
      <c r="B14" s="1" t="s">
        <v>14</v>
      </c>
      <c r="C14" s="2">
        <v>5</v>
      </c>
      <c r="D14" s="1"/>
      <c r="E14" s="2"/>
      <c r="F14" s="1"/>
    </row>
    <row r="15" spans="1:6" ht="20.100000000000001" customHeight="1" x14ac:dyDescent="0.25">
      <c r="A15" s="2">
        <v>7</v>
      </c>
      <c r="B15" s="1" t="s">
        <v>15</v>
      </c>
      <c r="C15" s="2">
        <v>5</v>
      </c>
      <c r="D15" s="1"/>
      <c r="E15" s="2"/>
      <c r="F15" s="1"/>
    </row>
    <row r="16" spans="1:6" ht="20.100000000000001" customHeight="1" x14ac:dyDescent="0.25">
      <c r="A16" s="2">
        <v>8</v>
      </c>
      <c r="B16" s="1" t="s">
        <v>16</v>
      </c>
      <c r="C16" s="2">
        <v>5</v>
      </c>
      <c r="D16" s="1"/>
      <c r="E16" s="2"/>
      <c r="F16" s="1"/>
    </row>
    <row r="17" spans="1:6" ht="20.100000000000001" customHeight="1" x14ac:dyDescent="0.25">
      <c r="A17" s="2">
        <v>9</v>
      </c>
      <c r="B17" s="1" t="s">
        <v>17</v>
      </c>
      <c r="C17" s="2">
        <v>8</v>
      </c>
      <c r="D17" s="1"/>
      <c r="E17" s="2"/>
      <c r="F17" s="1"/>
    </row>
    <row r="18" spans="1:6" ht="20.100000000000001" customHeight="1" x14ac:dyDescent="0.25">
      <c r="A18" s="2">
        <v>10</v>
      </c>
      <c r="B18" s="1" t="s">
        <v>18</v>
      </c>
      <c r="C18" s="2">
        <v>4</v>
      </c>
      <c r="D18" s="1"/>
      <c r="E18" s="2"/>
      <c r="F18" s="1"/>
    </row>
    <row r="19" spans="1:6" ht="20.100000000000001" customHeight="1" x14ac:dyDescent="0.25">
      <c r="B19" t="s">
        <v>19</v>
      </c>
      <c r="C19" s="3">
        <f>SUM(C9:C18)</f>
        <v>55</v>
      </c>
      <c r="E19" s="3">
        <f>SUM(E9:E18)</f>
        <v>0</v>
      </c>
    </row>
    <row r="20" spans="1:6" ht="20.100000000000001" customHeight="1" x14ac:dyDescent="0.25"/>
    <row r="21" spans="1:6" ht="20.100000000000001" customHeight="1" x14ac:dyDescent="0.25"/>
    <row r="22" spans="1:6" ht="20.100000000000001" customHeight="1" x14ac:dyDescent="0.25"/>
    <row r="23" spans="1:6" ht="20.100000000000001" customHeight="1" x14ac:dyDescent="0.25"/>
    <row r="24" spans="1:6" ht="20.100000000000001" customHeight="1" x14ac:dyDescent="0.25"/>
    <row r="25" spans="1:6" ht="20.100000000000001" customHeight="1" x14ac:dyDescent="0.25">
      <c r="A25" t="s">
        <v>20</v>
      </c>
    </row>
    <row r="26" spans="1:6" ht="20.100000000000001" customHeight="1" x14ac:dyDescent="0.25">
      <c r="A26" s="6" t="s">
        <v>3</v>
      </c>
      <c r="B26" s="6" t="s">
        <v>6</v>
      </c>
      <c r="C26" s="6" t="s">
        <v>7</v>
      </c>
      <c r="D26" s="6" t="s">
        <v>8</v>
      </c>
      <c r="E26" s="6" t="s">
        <v>56</v>
      </c>
      <c r="F26" s="9" t="s">
        <v>78</v>
      </c>
    </row>
    <row r="27" spans="1:6" ht="20.100000000000001" customHeight="1" x14ac:dyDescent="0.25">
      <c r="A27" s="1">
        <v>1</v>
      </c>
      <c r="B27" s="1" t="s">
        <v>17</v>
      </c>
      <c r="C27" s="2">
        <v>15</v>
      </c>
      <c r="D27" s="1"/>
      <c r="E27" s="2"/>
      <c r="F27" s="1"/>
    </row>
    <row r="28" spans="1:6" ht="20.100000000000001" customHeight="1" x14ac:dyDescent="0.25">
      <c r="A28" s="1">
        <v>2</v>
      </c>
      <c r="B28" s="1" t="s">
        <v>16</v>
      </c>
      <c r="C28" s="2">
        <v>5</v>
      </c>
      <c r="D28" s="1"/>
      <c r="E28" s="2"/>
      <c r="F28" s="1"/>
    </row>
    <row r="29" spans="1:6" ht="20.100000000000001" customHeight="1" x14ac:dyDescent="0.25">
      <c r="A29" s="1">
        <v>3</v>
      </c>
      <c r="B29" s="1" t="s">
        <v>15</v>
      </c>
      <c r="C29" s="2">
        <v>5</v>
      </c>
      <c r="D29" s="1"/>
      <c r="E29" s="2"/>
      <c r="F29" s="1"/>
    </row>
    <row r="30" spans="1:6" ht="20.100000000000001" customHeight="1" x14ac:dyDescent="0.25">
      <c r="A30" s="1">
        <v>4</v>
      </c>
      <c r="B30" s="1" t="s">
        <v>14</v>
      </c>
      <c r="C30" s="2">
        <v>5</v>
      </c>
      <c r="D30" s="1"/>
      <c r="E30" s="2"/>
      <c r="F30" s="1"/>
    </row>
    <row r="31" spans="1:6" ht="20.100000000000001" customHeight="1" x14ac:dyDescent="0.25">
      <c r="A31" s="1">
        <v>5</v>
      </c>
      <c r="B31" s="1" t="s">
        <v>13</v>
      </c>
      <c r="C31" s="2">
        <v>5</v>
      </c>
      <c r="D31" s="1"/>
      <c r="E31" s="2"/>
      <c r="F31" s="1"/>
    </row>
    <row r="32" spans="1:6" ht="20.100000000000001" customHeight="1" x14ac:dyDescent="0.25">
      <c r="A32" s="1">
        <v>6</v>
      </c>
      <c r="B32" s="1" t="s">
        <v>12</v>
      </c>
      <c r="C32" s="2">
        <v>5</v>
      </c>
      <c r="D32" s="1"/>
      <c r="E32" s="2"/>
      <c r="F32" s="1"/>
    </row>
    <row r="33" spans="1:6" ht="20.100000000000001" customHeight="1" x14ac:dyDescent="0.25">
      <c r="A33" s="1">
        <v>7</v>
      </c>
      <c r="B33" s="1" t="s">
        <v>11</v>
      </c>
      <c r="C33" s="2">
        <v>5</v>
      </c>
      <c r="D33" s="1"/>
      <c r="E33" s="2"/>
      <c r="F33" s="1"/>
    </row>
    <row r="34" spans="1:6" ht="20.100000000000001" customHeight="1" x14ac:dyDescent="0.25">
      <c r="A34" s="1">
        <v>8</v>
      </c>
      <c r="B34" s="1" t="s">
        <v>68</v>
      </c>
      <c r="C34" s="2">
        <v>10</v>
      </c>
      <c r="D34" s="1"/>
      <c r="E34" s="2"/>
      <c r="F34" s="1"/>
    </row>
    <row r="35" spans="1:6" ht="20.100000000000001" customHeight="1" x14ac:dyDescent="0.25">
      <c r="B35" t="s">
        <v>19</v>
      </c>
      <c r="C35" s="3">
        <f>SUM(C27:C34)</f>
        <v>55</v>
      </c>
      <c r="E35" s="3">
        <f>SUM(E27:E34)</f>
        <v>0</v>
      </c>
    </row>
    <row r="36" spans="1:6" ht="20.100000000000001" customHeight="1" x14ac:dyDescent="0.25"/>
    <row r="37" spans="1:6" ht="20.100000000000001" customHeight="1" x14ac:dyDescent="0.25">
      <c r="A37" s="13" t="s">
        <v>21</v>
      </c>
    </row>
    <row r="38" spans="1:6" ht="20.100000000000001" customHeight="1" x14ac:dyDescent="0.25">
      <c r="A38" s="7" t="s">
        <v>3</v>
      </c>
      <c r="B38" s="6" t="s">
        <v>6</v>
      </c>
      <c r="C38" s="6" t="s">
        <v>7</v>
      </c>
      <c r="D38" s="6" t="s">
        <v>8</v>
      </c>
      <c r="E38" s="6" t="s">
        <v>56</v>
      </c>
      <c r="F38" s="9" t="s">
        <v>78</v>
      </c>
    </row>
    <row r="39" spans="1:6" ht="20.100000000000001" customHeight="1" x14ac:dyDescent="0.25">
      <c r="A39" s="1">
        <v>1</v>
      </c>
      <c r="B39" s="1" t="s">
        <v>23</v>
      </c>
      <c r="C39" s="1">
        <v>5</v>
      </c>
      <c r="D39" s="1"/>
      <c r="E39" s="2"/>
      <c r="F39" s="1"/>
    </row>
    <row r="40" spans="1:6" ht="20.100000000000001" customHeight="1" x14ac:dyDescent="0.25">
      <c r="A40" s="1">
        <v>2</v>
      </c>
      <c r="B40" s="1" t="s">
        <v>25</v>
      </c>
      <c r="C40" s="1">
        <v>10</v>
      </c>
      <c r="D40" s="1"/>
      <c r="E40" s="2"/>
      <c r="F40" s="1"/>
    </row>
    <row r="41" spans="1:6" ht="20.100000000000001" customHeight="1" x14ac:dyDescent="0.25">
      <c r="A41" s="1">
        <v>3</v>
      </c>
      <c r="B41" s="1" t="s">
        <v>22</v>
      </c>
      <c r="C41" s="1">
        <v>5</v>
      </c>
      <c r="D41" s="1"/>
      <c r="E41" s="2"/>
      <c r="F41" s="1"/>
    </row>
    <row r="42" spans="1:6" x14ac:dyDescent="0.25">
      <c r="A42" s="1">
        <v>4</v>
      </c>
      <c r="B42" s="1" t="s">
        <v>24</v>
      </c>
      <c r="C42" s="1">
        <v>5</v>
      </c>
      <c r="D42" s="1"/>
      <c r="E42" s="2"/>
      <c r="F42" s="1"/>
    </row>
    <row r="43" spans="1:6" x14ac:dyDescent="0.25">
      <c r="B43" t="s">
        <v>19</v>
      </c>
      <c r="C43">
        <f>SUM(C39:C42)</f>
        <v>25</v>
      </c>
      <c r="E43" s="3">
        <f>SUM(E39:E42)</f>
        <v>0</v>
      </c>
    </row>
    <row r="44" spans="1:6" x14ac:dyDescent="0.25">
      <c r="E44" s="3"/>
    </row>
    <row r="45" spans="1:6" x14ac:dyDescent="0.25">
      <c r="B45" t="s">
        <v>55</v>
      </c>
      <c r="C45">
        <f>SUM(C19,C35,C43)</f>
        <v>135</v>
      </c>
      <c r="E45" s="3">
        <f>SUM(E19,E35,E43)</f>
        <v>0</v>
      </c>
    </row>
  </sheetData>
  <sheetProtection selectLockedCells="1" selectUnlockedCells="1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34"/>
  <sheetViews>
    <sheetView topLeftCell="A19" workbookViewId="0">
      <selection activeCell="D26" sqref="D26"/>
    </sheetView>
  </sheetViews>
  <sheetFormatPr defaultRowHeight="15" x14ac:dyDescent="0.25"/>
  <cols>
    <col min="1" max="1" width="4.85546875" customWidth="1"/>
    <col min="2" max="2" width="23.5703125" bestFit="1" customWidth="1"/>
    <col min="3" max="3" width="4.28515625" customWidth="1"/>
    <col min="4" max="4" width="54" customWidth="1"/>
    <col min="5" max="5" width="14.7109375" customWidth="1"/>
    <col min="6" max="6" width="64.7109375" customWidth="1"/>
  </cols>
  <sheetData>
    <row r="1" spans="1:6" ht="28.5" x14ac:dyDescent="0.45">
      <c r="A1" s="4" t="s">
        <v>35</v>
      </c>
      <c r="B1" s="5"/>
      <c r="C1" s="5"/>
      <c r="D1" s="5"/>
      <c r="E1" s="5"/>
    </row>
    <row r="3" spans="1:6" x14ac:dyDescent="0.25">
      <c r="A3" t="s">
        <v>1</v>
      </c>
    </row>
    <row r="4" spans="1:6" x14ac:dyDescent="0.25">
      <c r="A4" t="s">
        <v>2</v>
      </c>
    </row>
    <row r="6" spans="1:6" ht="20.100000000000001" customHeight="1" x14ac:dyDescent="0.25">
      <c r="A6" t="s">
        <v>36</v>
      </c>
    </row>
    <row r="7" spans="1:6" ht="20.100000000000001" customHeight="1" x14ac:dyDescent="0.25">
      <c r="A7" t="s">
        <v>29</v>
      </c>
    </row>
    <row r="8" spans="1:6" ht="20.100000000000001" customHeight="1" x14ac:dyDescent="0.25">
      <c r="A8" s="6" t="s">
        <v>3</v>
      </c>
      <c r="B8" s="6" t="s">
        <v>6</v>
      </c>
      <c r="C8" s="6" t="s">
        <v>7</v>
      </c>
      <c r="D8" s="6" t="s">
        <v>8</v>
      </c>
      <c r="E8" s="6" t="s">
        <v>56</v>
      </c>
      <c r="F8" s="9" t="s">
        <v>78</v>
      </c>
    </row>
    <row r="9" spans="1:6" ht="20.100000000000001" customHeight="1" x14ac:dyDescent="0.25">
      <c r="A9" s="2">
        <v>1</v>
      </c>
      <c r="B9" s="1" t="s">
        <v>9</v>
      </c>
      <c r="C9" s="2">
        <v>4</v>
      </c>
      <c r="D9" s="1"/>
      <c r="E9" s="2"/>
      <c r="F9" s="1"/>
    </row>
    <row r="10" spans="1:6" ht="20.100000000000001" customHeight="1" x14ac:dyDescent="0.25">
      <c r="A10" s="2">
        <v>2</v>
      </c>
      <c r="B10" s="1" t="s">
        <v>47</v>
      </c>
      <c r="C10" s="2">
        <v>5</v>
      </c>
      <c r="D10" s="1"/>
      <c r="E10" s="2"/>
      <c r="F10" s="1"/>
    </row>
    <row r="11" spans="1:6" ht="20.100000000000001" customHeight="1" x14ac:dyDescent="0.25">
      <c r="A11" s="2">
        <v>3</v>
      </c>
      <c r="B11" s="1" t="s">
        <v>37</v>
      </c>
      <c r="C11" s="2">
        <v>4</v>
      </c>
      <c r="D11" s="1"/>
      <c r="E11" s="2"/>
      <c r="F11" s="1"/>
    </row>
    <row r="12" spans="1:6" ht="20.100000000000001" customHeight="1" x14ac:dyDescent="0.25">
      <c r="A12" s="2">
        <v>4</v>
      </c>
      <c r="B12" s="1" t="s">
        <v>38</v>
      </c>
      <c r="C12" s="2">
        <v>15</v>
      </c>
      <c r="D12" s="1"/>
      <c r="E12" s="2"/>
      <c r="F12" s="1"/>
    </row>
    <row r="13" spans="1:6" ht="20.100000000000001" customHeight="1" x14ac:dyDescent="0.25">
      <c r="A13" s="2">
        <v>5</v>
      </c>
      <c r="B13" s="1" t="s">
        <v>39</v>
      </c>
      <c r="C13" s="2">
        <v>5</v>
      </c>
      <c r="D13" s="1"/>
      <c r="E13" s="2"/>
      <c r="F13" s="1"/>
    </row>
    <row r="14" spans="1:6" ht="20.100000000000001" customHeight="1" x14ac:dyDescent="0.25">
      <c r="A14" s="2">
        <v>6</v>
      </c>
      <c r="B14" s="1" t="s">
        <v>40</v>
      </c>
      <c r="C14" s="2">
        <v>2</v>
      </c>
      <c r="D14" s="1"/>
      <c r="E14" s="2"/>
      <c r="F14" s="1"/>
    </row>
    <row r="15" spans="1:6" ht="20.100000000000001" customHeight="1" x14ac:dyDescent="0.25">
      <c r="A15" s="2">
        <v>7</v>
      </c>
      <c r="B15" s="1" t="s">
        <v>18</v>
      </c>
      <c r="C15" s="2">
        <v>4</v>
      </c>
      <c r="D15" s="1"/>
      <c r="E15" s="2"/>
      <c r="F15" s="1"/>
    </row>
    <row r="16" spans="1:6" ht="20.100000000000001" customHeight="1" x14ac:dyDescent="0.25">
      <c r="B16" t="s">
        <v>19</v>
      </c>
      <c r="C16" s="3">
        <f>SUM(C9:C15)</f>
        <v>39</v>
      </c>
      <c r="E16" s="3">
        <f>SUM(E9:E15)</f>
        <v>0</v>
      </c>
    </row>
    <row r="17" spans="1:6" ht="20.100000000000001" customHeight="1" x14ac:dyDescent="0.25"/>
    <row r="18" spans="1:6" ht="20.100000000000001" customHeight="1" x14ac:dyDescent="0.25">
      <c r="A18" t="s">
        <v>41</v>
      </c>
    </row>
    <row r="19" spans="1:6" ht="20.100000000000001" customHeight="1" x14ac:dyDescent="0.25">
      <c r="A19" s="6" t="s">
        <v>3</v>
      </c>
      <c r="B19" s="6" t="s">
        <v>6</v>
      </c>
      <c r="C19" s="6" t="s">
        <v>7</v>
      </c>
      <c r="D19" s="6" t="s">
        <v>8</v>
      </c>
      <c r="E19" s="6" t="s">
        <v>56</v>
      </c>
      <c r="F19" s="9" t="s">
        <v>78</v>
      </c>
    </row>
    <row r="20" spans="1:6" ht="20.100000000000001" customHeight="1" x14ac:dyDescent="0.25">
      <c r="A20" s="1">
        <v>1</v>
      </c>
      <c r="B20" s="1" t="s">
        <v>39</v>
      </c>
      <c r="C20" s="2">
        <v>10</v>
      </c>
      <c r="D20" s="1"/>
      <c r="E20" s="2"/>
      <c r="F20" s="1"/>
    </row>
    <row r="21" spans="1:6" ht="20.100000000000001" customHeight="1" x14ac:dyDescent="0.25">
      <c r="A21" s="1">
        <v>2</v>
      </c>
      <c r="B21" s="1" t="s">
        <v>38</v>
      </c>
      <c r="C21" s="2">
        <v>10</v>
      </c>
      <c r="D21" s="1"/>
      <c r="E21" s="2"/>
      <c r="F21" s="1"/>
    </row>
    <row r="22" spans="1:6" ht="20.100000000000001" customHeight="1" x14ac:dyDescent="0.25">
      <c r="A22" s="1">
        <v>3</v>
      </c>
      <c r="B22" s="1" t="s">
        <v>10</v>
      </c>
      <c r="C22" s="2">
        <v>5</v>
      </c>
      <c r="D22" s="1"/>
      <c r="E22" s="2"/>
      <c r="F22" s="1"/>
    </row>
    <row r="23" spans="1:6" ht="20.100000000000001" customHeight="1" x14ac:dyDescent="0.25">
      <c r="A23" s="1">
        <v>4</v>
      </c>
      <c r="B23" s="1" t="s">
        <v>37</v>
      </c>
      <c r="C23" s="2">
        <v>5</v>
      </c>
      <c r="D23" s="1"/>
      <c r="E23" s="2"/>
      <c r="F23" s="1"/>
    </row>
    <row r="24" spans="1:6" ht="20.100000000000001" customHeight="1" x14ac:dyDescent="0.25">
      <c r="B24" t="s">
        <v>19</v>
      </c>
      <c r="C24" s="3">
        <f>SUM(C20:C23)</f>
        <v>30</v>
      </c>
      <c r="E24" s="3">
        <f>SUM(E20:E23)</f>
        <v>0</v>
      </c>
    </row>
    <row r="25" spans="1:6" ht="20.100000000000001" customHeight="1" x14ac:dyDescent="0.25"/>
    <row r="26" spans="1:6" ht="20.100000000000001" customHeight="1" x14ac:dyDescent="0.25">
      <c r="A26" s="13" t="s">
        <v>45</v>
      </c>
    </row>
    <row r="27" spans="1:6" ht="20.100000000000001" customHeight="1" x14ac:dyDescent="0.25">
      <c r="A27" s="7" t="s">
        <v>3</v>
      </c>
      <c r="B27" s="6" t="s">
        <v>6</v>
      </c>
      <c r="C27" s="6" t="s">
        <v>7</v>
      </c>
      <c r="D27" s="6" t="s">
        <v>8</v>
      </c>
      <c r="E27" s="6" t="s">
        <v>56</v>
      </c>
      <c r="F27" s="9" t="s">
        <v>78</v>
      </c>
    </row>
    <row r="28" spans="1:6" ht="20.100000000000001" customHeight="1" x14ac:dyDescent="0.25">
      <c r="A28" s="1">
        <v>1</v>
      </c>
      <c r="B28" s="1" t="s">
        <v>23</v>
      </c>
      <c r="C28" s="1">
        <v>5</v>
      </c>
      <c r="D28" s="1"/>
      <c r="E28" s="1"/>
      <c r="F28" s="1"/>
    </row>
    <row r="29" spans="1:6" ht="20.100000000000001" customHeight="1" x14ac:dyDescent="0.25">
      <c r="A29" s="1">
        <v>2</v>
      </c>
      <c r="B29" s="1" t="s">
        <v>25</v>
      </c>
      <c r="C29" s="1">
        <v>5</v>
      </c>
      <c r="D29" s="1"/>
      <c r="E29" s="1"/>
      <c r="F29" s="1"/>
    </row>
    <row r="30" spans="1:6" ht="20.100000000000001" customHeight="1" x14ac:dyDescent="0.25">
      <c r="A30" s="1">
        <v>3</v>
      </c>
      <c r="B30" s="1" t="s">
        <v>22</v>
      </c>
      <c r="C30" s="1">
        <v>5</v>
      </c>
      <c r="D30" s="1"/>
      <c r="E30" s="1"/>
      <c r="F30" s="1"/>
    </row>
    <row r="31" spans="1:6" ht="20.100000000000001" customHeight="1" x14ac:dyDescent="0.25">
      <c r="A31" s="1">
        <v>4</v>
      </c>
      <c r="B31" s="1" t="s">
        <v>24</v>
      </c>
      <c r="C31" s="1">
        <v>5</v>
      </c>
      <c r="D31" s="1"/>
      <c r="E31" s="1"/>
      <c r="F31" s="1"/>
    </row>
    <row r="32" spans="1:6" ht="20.100000000000001" customHeight="1" x14ac:dyDescent="0.25">
      <c r="B32" t="s">
        <v>19</v>
      </c>
      <c r="C32">
        <f>SUM(C28:C31)</f>
        <v>20</v>
      </c>
      <c r="E32" s="3">
        <f>SUM(E28:E31)</f>
        <v>0</v>
      </c>
    </row>
    <row r="33" spans="2:5" ht="20.100000000000001" customHeight="1" x14ac:dyDescent="0.25"/>
    <row r="34" spans="2:5" ht="20.100000000000001" customHeight="1" x14ac:dyDescent="0.25">
      <c r="B34" t="s">
        <v>55</v>
      </c>
      <c r="C34">
        <f>SUM(C16,C24,C32)</f>
        <v>89</v>
      </c>
      <c r="E34" s="3">
        <f>SUM(E16,E24,E32)</f>
        <v>0</v>
      </c>
    </row>
  </sheetData>
  <sheetProtection selectLockedCells="1" selectUnlockedCells="1"/>
  <pageMargins left="0.7" right="0.7" top="0.75" bottom="0.75" header="0.3" footer="0.3"/>
  <pageSetup paperSize="9" scale="7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F42"/>
  <sheetViews>
    <sheetView workbookViewId="0">
      <selection activeCell="D16" sqref="D16"/>
    </sheetView>
  </sheetViews>
  <sheetFormatPr defaultRowHeight="15" x14ac:dyDescent="0.25"/>
  <cols>
    <col min="1" max="1" width="4.85546875" customWidth="1"/>
    <col min="2" max="2" width="23.5703125" bestFit="1" customWidth="1"/>
    <col min="3" max="3" width="4.28515625" customWidth="1"/>
    <col min="4" max="4" width="55.28515625" customWidth="1"/>
    <col min="5" max="5" width="15" customWidth="1"/>
    <col min="6" max="6" width="66.42578125" customWidth="1"/>
  </cols>
  <sheetData>
    <row r="1" spans="1:6" ht="28.5" x14ac:dyDescent="0.45">
      <c r="A1" s="4" t="s">
        <v>0</v>
      </c>
      <c r="B1" s="5"/>
      <c r="C1" s="5"/>
      <c r="D1" s="5"/>
    </row>
    <row r="3" spans="1:6" ht="20.100000000000001" customHeight="1" x14ac:dyDescent="0.25">
      <c r="A3" t="s">
        <v>1</v>
      </c>
    </row>
    <row r="4" spans="1:6" ht="20.100000000000001" customHeight="1" x14ac:dyDescent="0.25">
      <c r="A4" t="s">
        <v>2</v>
      </c>
    </row>
    <row r="5" spans="1:6" ht="20.100000000000001" customHeight="1" x14ac:dyDescent="0.25"/>
    <row r="6" spans="1:6" ht="20.100000000000001" customHeight="1" x14ac:dyDescent="0.25">
      <c r="A6" t="s">
        <v>4</v>
      </c>
    </row>
    <row r="7" spans="1:6" ht="20.100000000000001" customHeight="1" x14ac:dyDescent="0.25">
      <c r="A7" t="s">
        <v>5</v>
      </c>
    </row>
    <row r="8" spans="1:6" ht="20.100000000000001" customHeight="1" x14ac:dyDescent="0.25">
      <c r="A8" s="6" t="s">
        <v>3</v>
      </c>
      <c r="B8" s="6" t="s">
        <v>6</v>
      </c>
      <c r="C8" s="6" t="s">
        <v>7</v>
      </c>
      <c r="D8" s="6" t="s">
        <v>8</v>
      </c>
      <c r="E8" s="6" t="s">
        <v>56</v>
      </c>
      <c r="F8" s="9" t="s">
        <v>78</v>
      </c>
    </row>
    <row r="9" spans="1:6" ht="31.5" customHeight="1" x14ac:dyDescent="0.25">
      <c r="A9" s="16">
        <v>1</v>
      </c>
      <c r="B9" s="15" t="s">
        <v>80</v>
      </c>
      <c r="C9" s="16">
        <v>5</v>
      </c>
      <c r="D9" s="1"/>
      <c r="E9" s="2"/>
      <c r="F9" s="1"/>
    </row>
    <row r="10" spans="1:6" ht="20.100000000000001" customHeight="1" x14ac:dyDescent="0.25">
      <c r="A10" s="2">
        <v>2</v>
      </c>
      <c r="B10" s="1" t="s">
        <v>68</v>
      </c>
      <c r="C10" s="2">
        <v>8</v>
      </c>
      <c r="D10" s="1"/>
      <c r="E10" s="2"/>
      <c r="F10" s="1"/>
    </row>
    <row r="11" spans="1:6" ht="20.100000000000001" customHeight="1" x14ac:dyDescent="0.25">
      <c r="A11" s="2">
        <v>3</v>
      </c>
      <c r="B11" s="1" t="s">
        <v>11</v>
      </c>
      <c r="C11" s="2">
        <v>5</v>
      </c>
      <c r="D11" s="1"/>
      <c r="E11" s="2"/>
      <c r="F11" s="1"/>
    </row>
    <row r="12" spans="1:6" ht="20.100000000000001" customHeight="1" x14ac:dyDescent="0.25">
      <c r="A12" s="2">
        <v>4</v>
      </c>
      <c r="B12" s="1" t="s">
        <v>12</v>
      </c>
      <c r="C12" s="2">
        <v>5</v>
      </c>
      <c r="D12" s="1"/>
      <c r="E12" s="2"/>
      <c r="F12" s="1"/>
    </row>
    <row r="13" spans="1:6" ht="20.100000000000001" customHeight="1" x14ac:dyDescent="0.25">
      <c r="A13" s="2">
        <v>5</v>
      </c>
      <c r="B13" s="1" t="s">
        <v>13</v>
      </c>
      <c r="C13" s="2">
        <v>5</v>
      </c>
      <c r="D13" s="1"/>
      <c r="E13" s="2"/>
      <c r="F13" s="1"/>
    </row>
    <row r="14" spans="1:6" ht="20.100000000000001" customHeight="1" x14ac:dyDescent="0.25">
      <c r="A14" s="2">
        <v>6</v>
      </c>
      <c r="B14" s="1" t="s">
        <v>14</v>
      </c>
      <c r="C14" s="2">
        <v>5</v>
      </c>
      <c r="D14" s="1"/>
      <c r="E14" s="2"/>
      <c r="F14" s="1"/>
    </row>
    <row r="15" spans="1:6" ht="20.100000000000001" customHeight="1" x14ac:dyDescent="0.25">
      <c r="A15" s="2">
        <v>7</v>
      </c>
      <c r="B15" s="1" t="s">
        <v>15</v>
      </c>
      <c r="C15" s="2">
        <v>5</v>
      </c>
      <c r="D15" s="1"/>
      <c r="E15" s="2"/>
      <c r="F15" s="1"/>
    </row>
    <row r="16" spans="1:6" ht="20.100000000000001" customHeight="1" x14ac:dyDescent="0.25">
      <c r="A16" s="2">
        <v>8</v>
      </c>
      <c r="B16" s="1" t="s">
        <v>16</v>
      </c>
      <c r="C16" s="2">
        <v>5</v>
      </c>
      <c r="D16" s="1"/>
      <c r="E16" s="2"/>
      <c r="F16" s="1"/>
    </row>
    <row r="17" spans="1:6" ht="28.5" customHeight="1" x14ac:dyDescent="0.25">
      <c r="A17" s="16">
        <v>9</v>
      </c>
      <c r="B17" s="15" t="s">
        <v>79</v>
      </c>
      <c r="C17" s="16">
        <v>8</v>
      </c>
      <c r="D17" s="1"/>
      <c r="E17" s="2"/>
      <c r="F17" s="1"/>
    </row>
    <row r="18" spans="1:6" ht="20.100000000000001" customHeight="1" x14ac:dyDescent="0.25">
      <c r="A18" s="2">
        <v>10</v>
      </c>
      <c r="B18" s="1" t="s">
        <v>18</v>
      </c>
      <c r="C18" s="2">
        <v>4</v>
      </c>
      <c r="D18" s="1"/>
      <c r="E18" s="2"/>
      <c r="F18" s="1"/>
    </row>
    <row r="19" spans="1:6" ht="20.100000000000001" customHeight="1" x14ac:dyDescent="0.25">
      <c r="B19" t="s">
        <v>19</v>
      </c>
      <c r="C19" s="3">
        <f>SUM(C9:C18)</f>
        <v>55</v>
      </c>
      <c r="E19" s="3">
        <f>SUM(E9:E18)</f>
        <v>0</v>
      </c>
    </row>
    <row r="20" spans="1:6" ht="20.100000000000001" customHeight="1" x14ac:dyDescent="0.25"/>
    <row r="21" spans="1:6" ht="20.100000000000001" customHeight="1" x14ac:dyDescent="0.25">
      <c r="A21" t="s">
        <v>20</v>
      </c>
    </row>
    <row r="22" spans="1:6" ht="20.100000000000001" customHeight="1" x14ac:dyDescent="0.25">
      <c r="A22" s="6" t="s">
        <v>3</v>
      </c>
      <c r="B22" s="6" t="s">
        <v>6</v>
      </c>
      <c r="C22" s="6" t="s">
        <v>7</v>
      </c>
      <c r="D22" s="6" t="s">
        <v>8</v>
      </c>
      <c r="E22" s="6" t="s">
        <v>56</v>
      </c>
      <c r="F22" s="9" t="s">
        <v>78</v>
      </c>
    </row>
    <row r="23" spans="1:6" ht="20.100000000000001" customHeight="1" x14ac:dyDescent="0.25">
      <c r="A23" s="1">
        <v>1</v>
      </c>
      <c r="B23" s="1" t="s">
        <v>17</v>
      </c>
      <c r="C23" s="2">
        <v>15</v>
      </c>
      <c r="D23" s="1"/>
      <c r="E23" s="2"/>
      <c r="F23" s="1"/>
    </row>
    <row r="24" spans="1:6" ht="20.100000000000001" customHeight="1" x14ac:dyDescent="0.25">
      <c r="A24" s="1">
        <v>2</v>
      </c>
      <c r="B24" s="1" t="s">
        <v>16</v>
      </c>
      <c r="C24" s="2">
        <v>5</v>
      </c>
      <c r="D24" s="1"/>
      <c r="E24" s="2"/>
      <c r="F24" s="1"/>
    </row>
    <row r="25" spans="1:6" ht="20.100000000000001" customHeight="1" x14ac:dyDescent="0.25">
      <c r="A25" s="1">
        <v>3</v>
      </c>
      <c r="B25" s="1" t="s">
        <v>15</v>
      </c>
      <c r="C25" s="2">
        <v>5</v>
      </c>
      <c r="D25" s="1"/>
      <c r="E25" s="2"/>
      <c r="F25" s="1"/>
    </row>
    <row r="26" spans="1:6" ht="20.100000000000001" customHeight="1" x14ac:dyDescent="0.25">
      <c r="A26" s="1">
        <v>4</v>
      </c>
      <c r="B26" s="1" t="s">
        <v>14</v>
      </c>
      <c r="C26" s="2">
        <v>5</v>
      </c>
      <c r="D26" s="1"/>
      <c r="E26" s="2"/>
      <c r="F26" s="1"/>
    </row>
    <row r="27" spans="1:6" ht="20.100000000000001" customHeight="1" x14ac:dyDescent="0.25">
      <c r="A27" s="1">
        <v>5</v>
      </c>
      <c r="B27" s="1" t="s">
        <v>13</v>
      </c>
      <c r="C27" s="2">
        <v>5</v>
      </c>
      <c r="D27" s="1"/>
      <c r="E27" s="2"/>
      <c r="F27" s="1"/>
    </row>
    <row r="28" spans="1:6" ht="20.100000000000001" customHeight="1" x14ac:dyDescent="0.25">
      <c r="A28" s="1">
        <v>6</v>
      </c>
      <c r="B28" s="1" t="s">
        <v>12</v>
      </c>
      <c r="C28" s="2">
        <v>5</v>
      </c>
      <c r="D28" s="1"/>
      <c r="E28" s="2"/>
      <c r="F28" s="1"/>
    </row>
    <row r="29" spans="1:6" ht="20.100000000000001" customHeight="1" x14ac:dyDescent="0.25">
      <c r="A29" s="1">
        <v>7</v>
      </c>
      <c r="B29" s="1" t="s">
        <v>11</v>
      </c>
      <c r="C29" s="2">
        <v>5</v>
      </c>
      <c r="D29" s="1"/>
      <c r="E29" s="2"/>
      <c r="F29" s="1"/>
    </row>
    <row r="30" spans="1:6" ht="20.100000000000001" customHeight="1" x14ac:dyDescent="0.25">
      <c r="A30" s="1">
        <v>8</v>
      </c>
      <c r="B30" s="1" t="s">
        <v>68</v>
      </c>
      <c r="C30" s="2">
        <v>10</v>
      </c>
      <c r="D30" s="1"/>
      <c r="E30" s="2"/>
      <c r="F30" s="1"/>
    </row>
    <row r="31" spans="1:6" ht="20.100000000000001" customHeight="1" x14ac:dyDescent="0.25">
      <c r="B31" t="s">
        <v>19</v>
      </c>
      <c r="C31" s="3">
        <f>SUM(C23:C30)</f>
        <v>55</v>
      </c>
      <c r="E31" s="3">
        <f>SUM(E23:E30)</f>
        <v>0</v>
      </c>
    </row>
    <row r="32" spans="1:6" ht="20.100000000000001" customHeight="1" x14ac:dyDescent="0.25"/>
    <row r="33" spans="1:6" ht="20.100000000000001" customHeight="1" x14ac:dyDescent="0.25"/>
    <row r="34" spans="1:6" ht="20.100000000000001" customHeight="1" x14ac:dyDescent="0.25">
      <c r="A34" s="13" t="s">
        <v>21</v>
      </c>
    </row>
    <row r="35" spans="1:6" ht="20.100000000000001" customHeight="1" x14ac:dyDescent="0.25">
      <c r="A35" s="7" t="s">
        <v>3</v>
      </c>
      <c r="B35" s="6" t="s">
        <v>6</v>
      </c>
      <c r="C35" s="6" t="s">
        <v>7</v>
      </c>
      <c r="D35" s="6" t="s">
        <v>8</v>
      </c>
      <c r="E35" s="6" t="s">
        <v>56</v>
      </c>
      <c r="F35" s="9" t="s">
        <v>78</v>
      </c>
    </row>
    <row r="36" spans="1:6" ht="20.100000000000001" customHeight="1" x14ac:dyDescent="0.25">
      <c r="A36" s="1">
        <v>1</v>
      </c>
      <c r="B36" s="1" t="s">
        <v>23</v>
      </c>
      <c r="C36" s="1">
        <v>5</v>
      </c>
      <c r="D36" s="1"/>
      <c r="E36" s="2"/>
      <c r="F36" s="1"/>
    </row>
    <row r="37" spans="1:6" ht="20.100000000000001" customHeight="1" x14ac:dyDescent="0.25">
      <c r="A37" s="1">
        <v>2</v>
      </c>
      <c r="B37" s="1" t="s">
        <v>25</v>
      </c>
      <c r="C37" s="1">
        <v>10</v>
      </c>
      <c r="D37" s="1"/>
      <c r="E37" s="2"/>
      <c r="F37" s="1"/>
    </row>
    <row r="38" spans="1:6" ht="20.100000000000001" customHeight="1" x14ac:dyDescent="0.25">
      <c r="A38" s="1">
        <v>3</v>
      </c>
      <c r="B38" s="1" t="s">
        <v>22</v>
      </c>
      <c r="C38" s="1">
        <v>5</v>
      </c>
      <c r="D38" s="1"/>
      <c r="E38" s="2"/>
      <c r="F38" s="1"/>
    </row>
    <row r="39" spans="1:6" ht="20.100000000000001" customHeight="1" x14ac:dyDescent="0.25">
      <c r="A39" s="1">
        <v>4</v>
      </c>
      <c r="B39" s="1" t="s">
        <v>24</v>
      </c>
      <c r="C39" s="1">
        <v>5</v>
      </c>
      <c r="D39" s="1"/>
      <c r="E39" s="2"/>
      <c r="F39" s="1"/>
    </row>
    <row r="40" spans="1:6" ht="20.100000000000001" customHeight="1" x14ac:dyDescent="0.25">
      <c r="B40" t="s">
        <v>19</v>
      </c>
      <c r="C40">
        <f>SUM(C36:C39)</f>
        <v>25</v>
      </c>
      <c r="E40" s="3">
        <f>SUM(E36:E39)</f>
        <v>0</v>
      </c>
    </row>
    <row r="41" spans="1:6" ht="20.100000000000001" customHeight="1" x14ac:dyDescent="0.25">
      <c r="E41" s="3"/>
    </row>
    <row r="42" spans="1:6" x14ac:dyDescent="0.25">
      <c r="B42" t="s">
        <v>55</v>
      </c>
      <c r="C42">
        <f>SUM(C19,C31,C40)</f>
        <v>135</v>
      </c>
      <c r="E42" s="3">
        <f>SUM(E19,E31,E40)</f>
        <v>0</v>
      </c>
    </row>
  </sheetData>
  <sheetProtection selectLockedCells="1" selectUnlockedCells="1"/>
  <pageMargins left="0.7" right="0.7" top="0.75" bottom="0.75" header="0.3" footer="0.3"/>
  <pageSetup paperSize="9" scale="7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45"/>
  <sheetViews>
    <sheetView topLeftCell="A16" workbookViewId="0">
      <selection activeCell="D26" sqref="D26"/>
    </sheetView>
  </sheetViews>
  <sheetFormatPr defaultRowHeight="15" x14ac:dyDescent="0.25"/>
  <cols>
    <col min="1" max="1" width="4.85546875" customWidth="1"/>
    <col min="2" max="2" width="23.5703125" bestFit="1" customWidth="1"/>
    <col min="3" max="3" width="4.140625" bestFit="1" customWidth="1"/>
    <col min="4" max="4" width="38.42578125" customWidth="1"/>
    <col min="5" max="5" width="14.5703125" customWidth="1"/>
    <col min="6" max="6" width="45.42578125" customWidth="1"/>
  </cols>
  <sheetData>
    <row r="1" spans="1:6" ht="28.5" x14ac:dyDescent="0.45">
      <c r="A1" s="4" t="s">
        <v>34</v>
      </c>
      <c r="B1" s="5"/>
      <c r="C1" s="5"/>
      <c r="D1" s="5"/>
      <c r="E1" s="5"/>
    </row>
    <row r="3" spans="1:6" ht="20.100000000000001" customHeight="1" x14ac:dyDescent="0.25">
      <c r="A3" t="s">
        <v>1</v>
      </c>
    </row>
    <row r="4" spans="1:6" ht="20.100000000000001" customHeight="1" x14ac:dyDescent="0.25">
      <c r="A4" t="s">
        <v>2</v>
      </c>
    </row>
    <row r="5" spans="1:6" ht="20.100000000000001" customHeight="1" x14ac:dyDescent="0.25"/>
    <row r="6" spans="1:6" ht="20.100000000000001" customHeight="1" x14ac:dyDescent="0.25">
      <c r="A6" t="s">
        <v>58</v>
      </c>
    </row>
    <row r="7" spans="1:6" ht="20.100000000000001" customHeight="1" x14ac:dyDescent="0.25">
      <c r="A7" t="s">
        <v>59</v>
      </c>
    </row>
    <row r="8" spans="1:6" ht="20.100000000000001" customHeight="1" x14ac:dyDescent="0.25">
      <c r="A8" s="9" t="s">
        <v>3</v>
      </c>
      <c r="B8" s="9" t="s">
        <v>6</v>
      </c>
      <c r="C8" s="9" t="s">
        <v>7</v>
      </c>
      <c r="D8" s="9" t="s">
        <v>8</v>
      </c>
      <c r="E8" s="9" t="s">
        <v>56</v>
      </c>
      <c r="F8" s="9" t="s">
        <v>78</v>
      </c>
    </row>
    <row r="9" spans="1:6" ht="20.100000000000001" customHeight="1" x14ac:dyDescent="0.25">
      <c r="A9" s="10">
        <v>1</v>
      </c>
      <c r="B9" s="11" t="s">
        <v>33</v>
      </c>
      <c r="C9" s="10">
        <v>1</v>
      </c>
      <c r="D9" s="10"/>
      <c r="E9" s="2"/>
      <c r="F9" s="1"/>
    </row>
    <row r="10" spans="1:6" ht="20.100000000000001" customHeight="1" x14ac:dyDescent="0.25">
      <c r="A10" s="2">
        <v>2</v>
      </c>
      <c r="B10" s="1" t="s">
        <v>26</v>
      </c>
      <c r="C10" s="2">
        <v>10</v>
      </c>
      <c r="D10" s="1"/>
      <c r="E10" s="2"/>
      <c r="F10" s="1"/>
    </row>
    <row r="11" spans="1:6" ht="20.100000000000001" customHeight="1" x14ac:dyDescent="0.25">
      <c r="A11" s="10">
        <v>3</v>
      </c>
      <c r="B11" s="1" t="s">
        <v>27</v>
      </c>
      <c r="C11" s="2">
        <v>5</v>
      </c>
      <c r="D11" s="1"/>
      <c r="E11" s="2"/>
      <c r="F11" s="1"/>
    </row>
    <row r="12" spans="1:6" ht="20.100000000000001" customHeight="1" x14ac:dyDescent="0.25">
      <c r="A12" s="2">
        <v>4</v>
      </c>
      <c r="B12" s="1" t="s">
        <v>12</v>
      </c>
      <c r="C12" s="2">
        <v>3</v>
      </c>
      <c r="D12" s="1"/>
      <c r="E12" s="2"/>
      <c r="F12" s="1"/>
    </row>
    <row r="13" spans="1:6" ht="20.100000000000001" customHeight="1" x14ac:dyDescent="0.25">
      <c r="A13" s="10">
        <v>5</v>
      </c>
      <c r="B13" s="1" t="s">
        <v>13</v>
      </c>
      <c r="C13" s="2">
        <v>3</v>
      </c>
      <c r="D13" s="1"/>
      <c r="E13" s="2"/>
      <c r="F13" s="1"/>
    </row>
    <row r="14" spans="1:6" ht="20.100000000000001" customHeight="1" x14ac:dyDescent="0.25">
      <c r="A14" s="2">
        <v>6</v>
      </c>
      <c r="B14" s="1" t="s">
        <v>14</v>
      </c>
      <c r="C14" s="2">
        <v>3</v>
      </c>
      <c r="D14" s="1"/>
      <c r="E14" s="2"/>
      <c r="F14" s="1"/>
    </row>
    <row r="15" spans="1:6" ht="20.100000000000001" customHeight="1" x14ac:dyDescent="0.25">
      <c r="A15" s="10">
        <v>7</v>
      </c>
      <c r="B15" s="1" t="s">
        <v>15</v>
      </c>
      <c r="C15" s="2">
        <v>3</v>
      </c>
      <c r="D15" s="1"/>
      <c r="E15" s="2"/>
      <c r="F15" s="1"/>
    </row>
    <row r="16" spans="1:6" ht="20.100000000000001" customHeight="1" x14ac:dyDescent="0.25">
      <c r="A16" s="2">
        <v>8</v>
      </c>
      <c r="B16" s="1" t="s">
        <v>16</v>
      </c>
      <c r="C16" s="2">
        <v>3</v>
      </c>
      <c r="D16" s="1"/>
      <c r="E16" s="2"/>
      <c r="F16" s="1"/>
    </row>
    <row r="17" spans="1:6" ht="20.100000000000001" customHeight="1" x14ac:dyDescent="0.25">
      <c r="A17" s="10">
        <v>9</v>
      </c>
      <c r="B17" s="1" t="s">
        <v>28</v>
      </c>
      <c r="C17" s="2">
        <v>5</v>
      </c>
      <c r="D17" s="1"/>
      <c r="E17" s="2"/>
      <c r="F17" s="1"/>
    </row>
    <row r="18" spans="1:6" ht="20.100000000000001" customHeight="1" x14ac:dyDescent="0.25">
      <c r="A18" s="2">
        <v>10</v>
      </c>
      <c r="B18" s="1" t="s">
        <v>18</v>
      </c>
      <c r="C18" s="2">
        <v>4</v>
      </c>
      <c r="D18" s="1"/>
      <c r="E18" s="2"/>
      <c r="F18" s="1"/>
    </row>
    <row r="19" spans="1:6" ht="20.100000000000001" customHeight="1" x14ac:dyDescent="0.25">
      <c r="B19" t="s">
        <v>19</v>
      </c>
      <c r="C19" s="3">
        <f>SUM(C10:C18)</f>
        <v>39</v>
      </c>
      <c r="E19" s="3">
        <f>SUM(E10:E18)</f>
        <v>0</v>
      </c>
    </row>
    <row r="20" spans="1:6" ht="20.100000000000001" customHeight="1" x14ac:dyDescent="0.25"/>
    <row r="21" spans="1:6" ht="20.100000000000001" customHeight="1" x14ac:dyDescent="0.25"/>
    <row r="22" spans="1:6" ht="20.100000000000001" customHeight="1" x14ac:dyDescent="0.25"/>
    <row r="23" spans="1:6" ht="20.100000000000001" customHeight="1" x14ac:dyDescent="0.25"/>
    <row r="24" spans="1:6" ht="20.100000000000001" customHeight="1" x14ac:dyDescent="0.25"/>
    <row r="25" spans="1:6" ht="20.100000000000001" customHeight="1" x14ac:dyDescent="0.25">
      <c r="A25" t="s">
        <v>30</v>
      </c>
    </row>
    <row r="26" spans="1:6" ht="20.100000000000001" customHeight="1" x14ac:dyDescent="0.25">
      <c r="A26" s="8" t="s">
        <v>3</v>
      </c>
      <c r="B26" s="9" t="s">
        <v>6</v>
      </c>
      <c r="C26" s="8" t="s">
        <v>7</v>
      </c>
      <c r="D26" s="8" t="s">
        <v>8</v>
      </c>
      <c r="E26" s="9" t="s">
        <v>56</v>
      </c>
      <c r="F26" s="9" t="s">
        <v>78</v>
      </c>
    </row>
    <row r="27" spans="1:6" ht="20.100000000000001" customHeight="1" x14ac:dyDescent="0.25">
      <c r="A27" s="2">
        <v>1</v>
      </c>
      <c r="B27" s="1" t="s">
        <v>52</v>
      </c>
      <c r="C27" s="2">
        <v>5</v>
      </c>
      <c r="D27" s="1"/>
      <c r="E27" s="2"/>
      <c r="F27" s="1"/>
    </row>
    <row r="28" spans="1:6" ht="20.100000000000001" customHeight="1" x14ac:dyDescent="0.25">
      <c r="A28" s="2">
        <v>2</v>
      </c>
      <c r="B28" s="1" t="s">
        <v>16</v>
      </c>
      <c r="C28" s="2">
        <v>3</v>
      </c>
      <c r="D28" s="1"/>
      <c r="E28" s="2"/>
      <c r="F28" s="1"/>
    </row>
    <row r="29" spans="1:6" ht="20.100000000000001" customHeight="1" x14ac:dyDescent="0.25">
      <c r="A29" s="2">
        <v>3</v>
      </c>
      <c r="B29" s="1" t="s">
        <v>15</v>
      </c>
      <c r="C29" s="2">
        <v>3</v>
      </c>
      <c r="D29" s="1"/>
      <c r="E29" s="2"/>
      <c r="F29" s="1"/>
    </row>
    <row r="30" spans="1:6" ht="20.100000000000001" customHeight="1" x14ac:dyDescent="0.25">
      <c r="A30" s="2">
        <v>4</v>
      </c>
      <c r="B30" s="1" t="s">
        <v>14</v>
      </c>
      <c r="C30" s="2">
        <v>3</v>
      </c>
      <c r="D30" s="1"/>
      <c r="E30" s="2"/>
      <c r="F30" s="1"/>
    </row>
    <row r="31" spans="1:6" ht="20.100000000000001" customHeight="1" x14ac:dyDescent="0.25">
      <c r="A31" s="2">
        <v>5</v>
      </c>
      <c r="B31" s="1" t="s">
        <v>13</v>
      </c>
      <c r="C31" s="2">
        <v>3</v>
      </c>
      <c r="D31" s="1"/>
      <c r="E31" s="2"/>
      <c r="F31" s="1"/>
    </row>
    <row r="32" spans="1:6" ht="20.100000000000001" customHeight="1" x14ac:dyDescent="0.25">
      <c r="A32" s="2">
        <v>6</v>
      </c>
      <c r="B32" s="1" t="s">
        <v>12</v>
      </c>
      <c r="C32" s="2">
        <v>3</v>
      </c>
      <c r="D32" s="1"/>
      <c r="E32" s="2"/>
      <c r="F32" s="1"/>
    </row>
    <row r="33" spans="1:6" ht="20.100000000000001" customHeight="1" x14ac:dyDescent="0.25">
      <c r="A33" s="2">
        <v>7</v>
      </c>
      <c r="B33" s="1" t="s">
        <v>31</v>
      </c>
      <c r="C33" s="2">
        <v>5</v>
      </c>
      <c r="D33" s="1"/>
      <c r="E33" s="2"/>
      <c r="F33" s="1"/>
    </row>
    <row r="34" spans="1:6" ht="20.100000000000001" customHeight="1" x14ac:dyDescent="0.25">
      <c r="A34" s="2">
        <v>8</v>
      </c>
      <c r="B34" s="1" t="s">
        <v>26</v>
      </c>
      <c r="C34" s="2">
        <v>15</v>
      </c>
      <c r="D34" s="1"/>
      <c r="E34" s="2"/>
      <c r="F34" s="1"/>
    </row>
    <row r="35" spans="1:6" ht="20.100000000000001" customHeight="1" x14ac:dyDescent="0.25">
      <c r="B35" t="s">
        <v>19</v>
      </c>
      <c r="C35" s="3">
        <f>SUM(C27:C34)</f>
        <v>40</v>
      </c>
      <c r="E35" s="3">
        <f>SUM(E27:E34)</f>
        <v>0</v>
      </c>
    </row>
    <row r="36" spans="1:6" ht="20.100000000000001" customHeight="1" x14ac:dyDescent="0.25"/>
    <row r="37" spans="1:6" ht="20.100000000000001" customHeight="1" x14ac:dyDescent="0.25">
      <c r="A37" s="14" t="s">
        <v>32</v>
      </c>
    </row>
    <row r="38" spans="1:6" ht="20.100000000000001" customHeight="1" x14ac:dyDescent="0.25">
      <c r="A38" s="8" t="s">
        <v>3</v>
      </c>
      <c r="B38" s="9" t="s">
        <v>6</v>
      </c>
      <c r="C38" s="8" t="s">
        <v>7</v>
      </c>
      <c r="D38" s="8" t="s">
        <v>8</v>
      </c>
      <c r="E38" s="9" t="s">
        <v>56</v>
      </c>
      <c r="F38" s="9" t="s">
        <v>78</v>
      </c>
    </row>
    <row r="39" spans="1:6" ht="20.100000000000001" customHeight="1" x14ac:dyDescent="0.25">
      <c r="A39" s="2">
        <v>1</v>
      </c>
      <c r="B39" s="1" t="s">
        <v>23</v>
      </c>
      <c r="C39" s="2">
        <v>5</v>
      </c>
      <c r="D39" s="1"/>
      <c r="E39" s="2"/>
      <c r="F39" s="1"/>
    </row>
    <row r="40" spans="1:6" ht="20.100000000000001" customHeight="1" x14ac:dyDescent="0.25">
      <c r="A40" s="2">
        <v>2</v>
      </c>
      <c r="B40" s="1" t="s">
        <v>25</v>
      </c>
      <c r="C40" s="2">
        <v>4</v>
      </c>
      <c r="D40" s="1"/>
      <c r="E40" s="2"/>
      <c r="F40" s="1"/>
    </row>
    <row r="41" spans="1:6" ht="20.100000000000001" customHeight="1" x14ac:dyDescent="0.25">
      <c r="A41" s="2">
        <v>3</v>
      </c>
      <c r="B41" s="1" t="s">
        <v>22</v>
      </c>
      <c r="C41" s="2">
        <v>4</v>
      </c>
      <c r="D41" s="1"/>
      <c r="E41" s="2"/>
      <c r="F41" s="1"/>
    </row>
    <row r="42" spans="1:6" x14ac:dyDescent="0.25">
      <c r="A42" s="2">
        <v>4</v>
      </c>
      <c r="B42" s="1" t="s">
        <v>24</v>
      </c>
      <c r="C42" s="2">
        <v>4</v>
      </c>
      <c r="D42" s="1"/>
      <c r="E42" s="2"/>
      <c r="F42" s="1"/>
    </row>
    <row r="43" spans="1:6" x14ac:dyDescent="0.25">
      <c r="B43" t="s">
        <v>19</v>
      </c>
      <c r="C43" s="3">
        <f>SUM(C39:C42)</f>
        <v>17</v>
      </c>
      <c r="E43" s="3">
        <f>SUM(E39:E42)</f>
        <v>0</v>
      </c>
    </row>
    <row r="45" spans="1:6" x14ac:dyDescent="0.25">
      <c r="B45" t="s">
        <v>55</v>
      </c>
      <c r="C45">
        <f>SUM(C19,C35,C43)</f>
        <v>96</v>
      </c>
      <c r="E45" s="3">
        <f>SUM(E19,E35,E43)</f>
        <v>0</v>
      </c>
    </row>
  </sheetData>
  <sheetProtection selectLockedCells="1" selectUnlockedCells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Transmission 24H,M</vt:lpstr>
      <vt:lpstr>Transmission 16M</vt:lpstr>
      <vt:lpstr>Transmission 740</vt:lpstr>
      <vt:lpstr>Transmission 777</vt:lpstr>
      <vt:lpstr>Transmission 16H,G</vt:lpstr>
      <vt:lpstr>Transmission 785 789</vt:lpstr>
      <vt:lpstr>Transmission D10T,R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xupj21daq</dc:creator>
  <cp:lastModifiedBy>Muhammad Ismail</cp:lastModifiedBy>
  <cp:lastPrinted>2014-09-28T20:44:54Z</cp:lastPrinted>
  <dcterms:created xsi:type="dcterms:W3CDTF">2014-07-23T02:03:22Z</dcterms:created>
  <dcterms:modified xsi:type="dcterms:W3CDTF">2026-08-09T09:04:38Z</dcterms:modified>
</cp:coreProperties>
</file>